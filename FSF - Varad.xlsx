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1" sheetId="1" r:id="rId5"/>
    <sheet state="visible" name="Project 2" sheetId="2" r:id="rId6"/>
    <sheet state="visible" name="Project 3" sheetId="3" r:id="rId7"/>
    <sheet state="visible" name="Project 4" sheetId="4" r:id="rId8"/>
    <sheet state="visible" name="Project 5" sheetId="5" r:id="rId9"/>
    <sheet state="visible" name="Project 6" sheetId="6" r:id="rId10"/>
    <sheet state="visible" name="P4 Historical Financials" sheetId="7" r:id="rId11"/>
    <sheet state="visible" name="P4 Assumptions" sheetId="8" r:id="rId12"/>
    <sheet state="visible" name="P4 DCF" sheetId="9" r:id="rId13"/>
    <sheet state="visible" name="P4 Sensitivity" sheetId="10" r:id="rId14"/>
    <sheet state="visible" name="P4 Comparable Valuation" sheetId="11" r:id="rId15"/>
    <sheet state="visible" name="P4 Valuation Summary" sheetId="12" r:id="rId16"/>
    <sheet state="hidden" name="Chart1 Growth Rates Trends (202" sheetId="13" r:id="rId17"/>
  </sheets>
  <definedNames/>
  <calcPr/>
</workbook>
</file>

<file path=xl/sharedStrings.xml><?xml version="1.0" encoding="utf-8"?>
<sst xmlns="http://schemas.openxmlformats.org/spreadsheetml/2006/main" count="1660" uniqueCount="1192">
  <si>
    <t>Project 2 : Conferrence Call Ananlysis</t>
  </si>
  <si>
    <t>Concall Sources</t>
  </si>
  <si>
    <t>Q4 2025</t>
  </si>
  <si>
    <t>https://drive.google.com/drive/folders/1R8KDjTIyHdN-b656eRMZX5sAD-TgQ9bB?usp=sharing</t>
  </si>
  <si>
    <t>Q1 2026</t>
  </si>
  <si>
    <t>Q2 2026</t>
  </si>
  <si>
    <t>Management Overview</t>
  </si>
  <si>
    <t>Entity &amp; Operating Model: CDSL operates as a critical Market Infrastructure Institution (MII) in a regulated duopoly alongside NSDL, providing electronic securities book-entry, settlement, and investor record-keeping.</t>
  </si>
  <si>
    <t>Retail Market Leadership: Commands a dominant 80.0% market share with 16.50 crore Demat accounts as of Q2 FY26</t>
  </si>
  <si>
    <t>Competitive Advantage: Operates a low-cost, centralized architecture charging ₹3.50 per debit transaction (₹0.50 lower than NSDL), making it the primary depository partner for discount brokers (Zerodha, Groww, Angel One).</t>
  </si>
  <si>
    <t>Management Strategy</t>
  </si>
  <si>
    <t>Project 4: Valuation</t>
  </si>
  <si>
    <t>Project 3: Industry &amp; Competitive Analysis</t>
  </si>
  <si>
    <t>Part A: Excel Model</t>
  </si>
  <si>
    <t>Firm's "Infrastructure Highway" Philosophy: Management strictly positions CDSL as a utility: "We build the road; cars ply dynamically based on market sentiment". Management focuses on uninterrupted uptime and capacity readiness rather than managing quarterly volume or margin variations.</t>
  </si>
  <si>
    <r>
      <rPr>
        <rFont val="Arial"/>
        <color rgb="FF1155CC"/>
        <sz val="10.0"/>
        <u/>
      </rPr>
      <t>Central Depository Services (India) Limited (CDSL)</t>
    </r>
    <r>
      <rPr>
        <rFont val="Arial"/>
        <sz val="10.0"/>
      </rPr>
      <t xml:space="preserve"> belongs to the Financial Services sector and operates within the Capital Markets industry as a market infrastructure institution.</t>
    </r>
  </si>
  <si>
    <t>Historical Financials</t>
  </si>
  <si>
    <t>#AtmanirbharInvestor Focus: Democratizing investor tools through proxy advisory access during e-voting on the MyEasi app, multi-lingual education portals (CDSL IPF in 12 languages), and Nomination Phase 2 implementation.</t>
  </si>
  <si>
    <t>https://docs.google.com/spreadsheets/d/1jz-B9c213fOypgamVcnmEjxnxo0kV79aESFVPSVzqYg/edit?gid=1893715749#gid=1893715749</t>
  </si>
  <si>
    <t>Continuous IT Modernization: Proactive, non-cyclical technology allocation across four core layers (Hardware/Infra, Applications, Cybersecurity, and Network) to support structural volume surges without disruption.</t>
  </si>
  <si>
    <t>Disciplined Capital Allocation: Strict adherence to returning 60% of operating profits via dividends alongside capitalization bonus issues (1:1 bonus in FY25).</t>
  </si>
  <si>
    <t>Key Priorities &amp; Major Growth Drivers</t>
  </si>
  <si>
    <t>Establish</t>
  </si>
  <si>
    <t>Assumptions</t>
  </si>
  <si>
    <t>https://docs.google.com/spreadsheets/d/1jz-B9c213fOypgamVcnmEjxnxo0kV79aESFVPSVzqYg/edit?gid=500236260#gid=500236260</t>
  </si>
  <si>
    <t>Growth Pillar</t>
  </si>
  <si>
    <t>Operational Mechanism</t>
  </si>
  <si>
    <t>Strategic Priority</t>
  </si>
  <si>
    <t>Evidence &amp; Financial Metrics</t>
  </si>
  <si>
    <t>Annual Issuer Annuity</t>
  </si>
  <si>
    <t>Fixed annual fees charged per scrip holding per account based on prior fiscal average folios.</t>
  </si>
  <si>
    <t>What industry does the company operate in?</t>
  </si>
  <si>
    <t>Monetize cumulative retail Demat account expansion into predictable recurring revenue.</t>
  </si>
  <si>
    <t>Billed folios surged +46.1% YoY to 33.26 crore in FY26 (vs. 22.76 crore in FY25).</t>
  </si>
  <si>
    <t>Unlisted Dematerialization</t>
  </si>
  <si>
    <t>DCF</t>
  </si>
  <si>
    <t>MCA mandate requiring large private firms to dematerialize securities.</t>
  </si>
  <si>
    <t>Capital Markets / Depository Services</t>
  </si>
  <si>
    <t>Scale unlisted admissions and achieve parity via joint ISIN allocation rollout.</t>
  </si>
  <si>
    <t>https://docs.google.com/spreadsheets/d/1jz-B9c213fOypgamVcnmEjxnxo0kV79aESFVPSVzqYg/edit?gid=794050223#gid=794050223</t>
  </si>
  <si>
    <t>Admitted 7,079 unlisted companies in H1 FY26; generated ₹35.95 Cr in FY25 and ₹15.31 Cr in H1 FY26.</t>
  </si>
  <si>
    <t>CVL / KRA Ecosystem</t>
  </si>
  <si>
    <t>Pioneer KRA providing KYC fetch, creation, eSign, and CKYC integration.</t>
  </si>
  <si>
    <t>Integrate with unified CKYC while expanding non-broker BFSI client use cases.</t>
  </si>
  <si>
    <t>Generates 13%–15% of group revenue; quarterly income rebounded to ₹49.78 Cr in Q2 FY26.</t>
  </si>
  <si>
    <t>Insurance Repository (Centrico)</t>
  </si>
  <si>
    <t>Dematerialization of life/general insurance policies into e-Insurance Accounts (eIA).</t>
  </si>
  <si>
    <t>What are its major products/services?</t>
  </si>
  <si>
    <t>Digitize the &gt;90% unpenetrated policy market via direct portals and marquee LIC onboarding.</t>
  </si>
  <si>
    <t>Cumulative policies crossed 18+ lakhs and eIAs reached 20+ lakhs; signed 2 new insurers in H1 FY26.</t>
  </si>
  <si>
    <t>Category</t>
  </si>
  <si>
    <t>Comparable Valuation</t>
  </si>
  <si>
    <t>https://docs.google.com/spreadsheets/d/1jz-B9c213fOypgamVcnmEjxnxo0kV79aESFVPSVzqYg/edit?gid=1594086878#gid=1594086878</t>
  </si>
  <si>
    <t>Major Products / Services</t>
  </si>
  <si>
    <t>What it does?</t>
  </si>
  <si>
    <t>Management Claim</t>
  </si>
  <si>
    <t>Where Stated</t>
  </si>
  <si>
    <t>What Does It Mean?</t>
  </si>
  <si>
    <t>Evidence</t>
  </si>
  <si>
    <t>Depository Services</t>
  </si>
  <si>
    <t>Demat accounts, securities holding</t>
  </si>
  <si>
    <t>Enables investors to hold shares, bonds, ETFs and other securities electronically</t>
  </si>
  <si>
    <t>"Financial year 24-25 has been a record year for CDSL with our revenues reaching an all-time high of INR 1,199 crores, and an annual net profit of INR 526 crores with a year-on-year growth of about 25%."</t>
  </si>
  <si>
    <t>Q4 FY25 Concall (MD Opening Remarks, Page 2)</t>
  </si>
  <si>
    <t>Dematerialisation &amp; Rematerialisation</t>
  </si>
  <si>
    <t>Demat/Remat services</t>
  </si>
  <si>
    <t>Converts physical securities into electronic form and vice versa</t>
  </si>
  <si>
    <t>Business demand and market participation are at historic peaks; top-line and bottom-line expansion is supported by structural retail trading volume.</t>
  </si>
  <si>
    <t xml:space="preserve">• Consolidated Total Income: ₹1,199 Cr (+32% YoY) 
• Consolidated Net Profit: ₹526 Cr (+25% YoY) </t>
  </si>
  <si>
    <t>Settlement Services</t>
  </si>
  <si>
    <t>Securities settlement, transfer</t>
  </si>
  <si>
    <t>Facilitates transfer and settlement of securities after stock-market transactions</t>
  </si>
  <si>
    <t>"Technology spend... we are in the process of building and consolidation. It's on all the core aspects: hardware, infra, applications, security and connectivity... continuous assessment of newer tools."</t>
  </si>
  <si>
    <t>Q4 FY25 Concall (Q&amp;A Supratim Datta, Page 4)</t>
  </si>
  <si>
    <t>Management is executing heavy, non-cyclical IT capacity expansion and modernization to prevent downtime during peak volume surges.</t>
  </si>
  <si>
    <t>• Technology expenses increased ~70% YoY in FY25 
• Depreciation &amp; Amortisation grew from ₹21.21 Cr (FY24) to ₹40.55 Cr (FY25) and ₹54.16 Cr (FY26)</t>
  </si>
  <si>
    <t>Sensitivity</t>
  </si>
  <si>
    <t>easi / easiEST</t>
  </si>
  <si>
    <t>https://docs.google.com/spreadsheets/d/1jz-B9c213fOypgamVcnmEjxnxo0kV79aESFVPSVzqYg/edit?gid=950321932#gid=950321932</t>
  </si>
  <si>
    <t>Online account access</t>
  </si>
  <si>
    <t>Allows investors to view and manage their demat holdings and transactions online</t>
  </si>
  <si>
    <t>"We are about 61.3% payout. So, we've continued to maintain our policy guidance on dividend payout at 60% of our operating profits."</t>
  </si>
  <si>
    <t>Q4 FY25 Concall (Q&amp;A Supratim Datta &amp; Santosh Keshri, Page 5, 12)</t>
  </si>
  <si>
    <t>Management is committed to high shareholder capital return, distributing free cash flow directly via dividends alongside a 1:1 bonus issue.</t>
  </si>
  <si>
    <t>• FY25 Dividend declared: ₹12.50/share (effective ₹25.00 pre-bonus) 
• Payout Ratio: 61.3% of Standalone Operating Profits 
• Financing cash outflow: ₹230.12 Cr (FY25) to ₹262.13 Cr (FY26)</t>
  </si>
  <si>
    <t>Project 1 : Financial Health Report</t>
  </si>
  <si>
    <t>"Average folio for this financial year is 33.26 crores [vs 22.76 crores in FY25]... and unlisted revenue for this quarter is INR 6.39 crores."</t>
  </si>
  <si>
    <t>Q1 FY26 Concall (Q&amp;A Madhukar Ladha, Page 7)</t>
  </si>
  <si>
    <t>Core annuity revenue is expanding significantly as prior-year Demat scrip additions convert directly into high-margin recurring annual issuer fees.</t>
  </si>
  <si>
    <t>• Billed Folios jumped +46.1% YoY (22.76 Cr to 33.26 Cr) 
• Standalone Q1 FY26 Revenue reached ₹312 Cr (+41.2% YoY vs ₹221 Cr in Q1 FY25)</t>
  </si>
  <si>
    <t>CDSL Ventures</t>
  </si>
  <si>
    <t>KYC Registration Agency (KRA), KYC services</t>
  </si>
  <si>
    <t>"CDSL saw more than 56 lakh accounts opened in this quarter, bringing our total to 15.86 crore Demat accounts, maintaining a 79% market share."</t>
  </si>
  <si>
    <t>Provides KYC-related services to capital-market participants</t>
  </si>
  <si>
    <t>Q1 FY26 Concall (MD Opening Remarks, Page 2)</t>
  </si>
  <si>
    <t>CDSL retains its dominant market leadership in retail investor reach, continuing to capture ~8 out of 10 incremental market accounts.</t>
  </si>
  <si>
    <t>• Demat Accounts: 15.29 Cr (Q4 FY25) to 15.86 Cr (Q1 FY26) to 16.50 Cr (Q2 FY26) 
• Market share maintained at 79%–80%</t>
  </si>
  <si>
    <t>CDSL Insurance Repository</t>
  </si>
  <si>
    <t>Electronic insurance policies</t>
  </si>
  <si>
    <t>Enables electronic holding and servicing of insurance policies</t>
  </si>
  <si>
    <t>"If you ask the percentage of creation and fetch, it is about 85% to about 15%. And the drop in income was primarily because of market conditions where the number of accounts were lower."</t>
  </si>
  <si>
    <t>Q1 FY26 Concall (Sunil Alvares Q&amp;A, Page 5)</t>
  </si>
  <si>
    <t>Valuation Summary</t>
  </si>
  <si>
    <t>CVL (KRA) quarterly revenue volatility is driven by retail onboarding cycles rather than structural market-share loss.</t>
  </si>
  <si>
    <t>• CVL Q1 FY26 Income: ₹43.06 Cr (vs ₹64.37 Cr in Q1 FY25) 
• CVL Q1 FY26 PAT: ₹12.71 Cr (vs ₹28.55 Cr in Q1 FY25) 
• Rebounded to ₹49.78 Cr revenue in Q2 FY26 as fetches revived</t>
  </si>
  <si>
    <t>https://docs.google.com/spreadsheets/d/1jz-B9c213fOypgamVcnmEjxnxo0kV79aESFVPSVzqYg/edit?gid=519151021#gid=519151021</t>
  </si>
  <si>
    <t>CDSL Commodity Repository</t>
  </si>
  <si>
    <t>Electronic warehouse receipts</t>
  </si>
  <si>
    <t>Supports electronic recording and management of commodity-related warehouse receipts</t>
  </si>
  <si>
    <t>"The two important inputs for CDSL as an MII is technology spend and human resource spend... MII regulations SEBI have mooted constitutes into vertical 1, vertical 2 and vertical 3."</t>
  </si>
  <si>
    <t>Q1 FY26 Concall (MD Opening Remarks, Page 4)</t>
  </si>
  <si>
    <t>Operating expenses are increasing due to mandated structural governance compliance (IT/Ops, Risk/Reg, Business) and talent additions.</t>
  </si>
  <si>
    <t>• Employee Benefits Expense grew 26.8% in FY25 (₹101.71 Cr) and 29.9% in FY26 (₹132.15 Cr)
• Variable pay provisions equalized at ~25% per quarter</t>
  </si>
  <si>
    <t>e-voting</t>
  </si>
  <si>
    <t>Electronic voting services</t>
  </si>
  <si>
    <t>Enables shareholders to vote electronically on company resolutions</t>
  </si>
  <si>
    <t>CDSL: Central Depository Services (India) Ltd.</t>
  </si>
  <si>
    <t>"Centrico Insurance Repository... we have crossed 18 lakhs policies overall cumulatively [and] e-insurance accounts is also in the range of 20 lakhs... LIC integration is work in progress."</t>
  </si>
  <si>
    <t>Q1 FY26 Concall (Latesh Shetty Q&amp;A, Page 11–12) &amp; Q2 FY26 (Page 10)</t>
  </si>
  <si>
    <t>Centrico is scaling up digital distribution across three channels (Insurers, Direct Portal, Brokers) to monetize the &gt;90% un-dematerialized insurance policy market.</t>
  </si>
  <si>
    <t>CAS</t>
  </si>
  <si>
    <t>• Cumulative Policies: 18+ Lakhs; e-Insurance Accounts: 20+ Lakhs 
• LIC integration scheduled to go live in November 2025 
• Signed 2 new insurance companies in H1 FY26</t>
  </si>
  <si>
    <t>Consolidated Account Statement</t>
  </si>
  <si>
    <t>A central securities depository that holds financial assets in electronic form, maintains ownership records, and settles trades for the Indian stock market. It operates through registered intermediaries rather than dealing directly with the public.</t>
  </si>
  <si>
    <t>Provides investors with a consolidated view of their securities holdings and transactions</t>
  </si>
  <si>
    <t>"In this quarter, we have admitted 3,593 unlisted companies... unlisted issuer charges INR 3.53 crores and application processing INR 5.39 crores."</t>
  </si>
  <si>
    <t>Q2 FY26 Concall (CFO Remarks, Page 5, 7)</t>
  </si>
  <si>
    <t>Regulatory mandate requiring unlisted private companies to dematerialize securities is creating a recurring annuity and upfront processing fee engine.</t>
  </si>
  <si>
    <t>• H1 FY26 Unlisted admissions: 7,079 companies (3,486 in Q1 + 3,593 in Q2) 
• Unlisted revenue: ₹35.95 Cr in FY25 and ₹15.31 Cr in H1 FY26 
• CDSL unlisted market share: 30%–32%</t>
  </si>
  <si>
    <t>Issuer Services</t>
  </si>
  <si>
    <t>Corporate actions</t>
  </si>
  <si>
    <t>Supports issuers with activities such as dividends, bonuses, rights issues and other corporate actions</t>
  </si>
  <si>
    <t>"Depository charges are regulated by SEBI... We don't provide forward-looking guidance. Business is like a road; we provide the infrastructure and cars ply dynamically."</t>
  </si>
  <si>
    <t>Q4 FY25, Q1 FY26, Q2 FY26 Concalls (MD Recurring Statements)</t>
  </si>
  <si>
    <t>Management operates strictly as a utility infrastructure provider with regulated tariffs, focusing on platform bandwidth rather than short-term volume predictions.</t>
  </si>
  <si>
    <t>• Zero corporate debt; Balance Sheet Cash &amp; Investments &gt;₹1,500 Cr 
• Transaction fee kept at ₹3.50/debit (₹0.50 below competition) 
• Cash Flow from Operations consistently high: ₹442.78 Cr (FY25) and ₹430.73 Cr (FY26)</t>
  </si>
  <si>
    <t>What are the main sources of revenue?</t>
  </si>
  <si>
    <t>Revenue source</t>
  </si>
  <si>
    <t>How CDSL earns</t>
  </si>
  <si>
    <t>Financial Data</t>
  </si>
  <si>
    <t>Topic</t>
  </si>
  <si>
    <t>Transaction Charges</t>
  </si>
  <si>
    <t>FY2022</t>
  </si>
  <si>
    <t>Charges on debit/transfer transactions in demat accounts</t>
  </si>
  <si>
    <t>What Management Said</t>
  </si>
  <si>
    <t>What Actually Happened</t>
  </si>
  <si>
    <t>Analyst View</t>
  </si>
  <si>
    <t>Analyst Interpretation</t>
  </si>
  <si>
    <t>FY2023</t>
  </si>
  <si>
    <t>Annual Custody / Maintenance Charges</t>
  </si>
  <si>
    <t>FY2024</t>
  </si>
  <si>
    <t>Fees charged to issuers for maintaining securities in the depository system</t>
  </si>
  <si>
    <t>FY2025</t>
  </si>
  <si>
    <t>FY2026</t>
  </si>
  <si>
    <t>Revenue</t>
  </si>
  <si>
    <t>“Financial year 24-25 has been a record year with revenues reaching an all-time high of INR 1,199 crores (+32% YoY)... Annual issuer billing moves hand-in-hand with average folios.”</t>
  </si>
  <si>
    <t>Sources</t>
  </si>
  <si>
    <t>https://www.cdslindia.com/InvestorRels/AnnualReports.html</t>
  </si>
  <si>
    <t>Consolidated Revenue softened in Q4 FY25 (₹256 Cr), but rebounded in Q1 FY26 (₹295 Cr) and Q2 FY26 (₹341 Cr). Billed folios surged 46.1% YoY to 33.26 Cr. FY26 Revenue reached ₹960.45 Cr in the annual model.</t>
  </si>
  <si>
    <t>Who are the major players?</t>
  </si>
  <si>
    <t>Reasonably Supported</t>
  </si>
  <si>
    <t>Secular annuity expansion via folios cushions the top-line, though transaction fees fluctuate with market turnover.</t>
  </si>
  <si>
    <t>Player</t>
  </si>
  <si>
    <t>Role</t>
  </si>
  <si>
    <t>Competitive position</t>
  </si>
  <si>
    <t>Margins</t>
  </si>
  <si>
    <t>“Our intent is not to earn a particular EBITDA margin, either high or low... EBITDA margin is the byproduct of ensuring the right infrastructure platform is provided to the market.”</t>
  </si>
  <si>
    <t>Consolidated EBITDA/PBT margins compressed from ~61% in FY24 to 58% in FY25 and ~50%–52% in H1 FY26. Consolidated Q1 PAT fell 23.9% YoY (₹102 Cr vs ₹134 Cr) and Q2 PAT fell 13.6% YoY (₹140 Cr vs ₹162 Cr).</t>
  </si>
  <si>
    <t>Concern</t>
  </si>
  <si>
    <t>Inflexible IT and compliance cost floor caused noticeable margin dilution during market volume pauses.</t>
  </si>
  <si>
    <t>CDSL</t>
  </si>
  <si>
    <t>Central securities depository</t>
  </si>
  <si>
    <t>Direct competitor</t>
  </si>
  <si>
    <t>NSDL</t>
  </si>
  <si>
    <t>National securities depository</t>
  </si>
  <si>
    <t>Primary and only other direct competitor</t>
  </si>
  <si>
    <t>Demand</t>
  </si>
  <si>
    <t>“India has added about 4.1 crore Demat accounts in the year... CDSL has experienced 32% growth reaching 15.29 crores (79% market share)... and crossed 16.50 crores in Q2 FY26.”</t>
  </si>
  <si>
    <t>Demat additions remained steady: +56 lakh accounts opened in Q1 FY26 and +65 lakh in Q2 FY26, taking national demat accounts past the 20 Cr mark. CDSL market share held firm at 79%–80%.</t>
  </si>
  <si>
    <t>Positive / Highly Supported</t>
  </si>
  <si>
    <t>Depository Participants (DPs)</t>
  </si>
  <si>
    <t>Structural retail financialization in India remains durable and provides an expanding monetization base.</t>
  </si>
  <si>
    <t>Interface between investors and the depositories</t>
  </si>
  <si>
    <t>Indirect competitive influence</t>
  </si>
  <si>
    <t>Income Statement</t>
  </si>
  <si>
    <t>Capex &amp; Tech Spend</t>
  </si>
  <si>
    <t>https://drive.google.com/drive/folders/1Qhx6_CovElkG-2AiF0mTD_0T-lGiDurM?usp=sharing</t>
  </si>
  <si>
    <t>“Technology spend is in the process of building and consolidation across hardware, infra, applications, security, and connectivity... It is a fusion cost and a continuous process of evolution.”</t>
  </si>
  <si>
    <t>Technology expenses increased ~70% YoY in FY25 and remained elevated in FY26. Depreciation &amp; Amortization surged from ₹21.22 Cr (FY24) to ₹40.55 Cr (FY25) and ₹54.17 Cr (FY26). Peak turnovers (&gt;₹1.2L Cr ADTO) were handled with zero downtime.</t>
  </si>
  <si>
    <t>Operationally Positive / Cost Heavy</t>
  </si>
  <si>
    <t>Critical for MII capacity and system uptime, but creates a high baseline operational expense.</t>
  </si>
  <si>
    <t>How large is the industry?</t>
  </si>
  <si>
    <t>A highly regulated, two-player market with ~23 crore demat accounts, enormous securities custody value, and strong structural growth driven by financialisation, retail participation and digitisation of securities.</t>
  </si>
  <si>
    <t>Debt</t>
  </si>
  <si>
    <t>“We have a conservative investment policy approved by the Board... money is parked in fixed deposits, mutual fund debt schemes, and bonds.”</t>
  </si>
  <si>
    <t>CDSL remained completely debt-free with zero long-term borrowings. Treasury surplus and investments exceeded ₹1,500 Cr, generating quarterly other/investment income of ₹35 Cr in Q1 FY26 and ₹21.46 Cr in Q2 FY26.</t>
  </si>
  <si>
    <t>Extremely Positive</t>
  </si>
  <si>
    <t>Pristine fortress balance sheet with total liquidity security and high return on capital.</t>
  </si>
  <si>
    <t>Competition</t>
  </si>
  <si>
    <t>“We are about INR 0.50 cheaper than our competition on transaction pricing... Our centralized architecture and lower holding cost create an inherent advantage.”</t>
  </si>
  <si>
    <t>CDSL maintained an 80% market share in Demat accounts and an 82% incremental share in additions. In unlisted admissions, CDSL captured a 30%–32% market share (admitting 7,079 unlisted companies in H1 FY26), with NSDL retaining the remainder.</t>
  </si>
  <si>
    <t>Retail broker ecosystem remains strongly anchored to CDSL due to lower transaction fees and API integration.</t>
  </si>
  <si>
    <t>Regulations</t>
  </si>
  <si>
    <t>Is the industry growing or shrinking?</t>
  </si>
  <si>
    <t>Balance Sheet</t>
  </si>
  <si>
    <t>“MII regulations SEBI mooted constitute vertical 1 (IT/Ops), vertical 2 (Risk/Reg), vertical 3 (Biz)... Unlisted dematerialization and CKYC integration are progressing under regulatory guidelines.”</t>
  </si>
  <si>
    <t>https://drive.google.com/drive/folders/1RJrPCVNy2BAitqJkfItQlSREklU9ywtX?usp=sharing</t>
  </si>
  <si>
    <t>SEBI 3-vertical compliance increased headcount and employee costs (+29.9% YoY in FY26 to ₹132.15 Cr). Mandated unlisted dematerialization delivered ₹35.95 Cr revenue in FY25 and ₹15.31 Cr in H1 FY26.</t>
  </si>
  <si>
    <t>Positive Catalyst / Cost Headwind</t>
  </si>
  <si>
    <t>Broadens addressable market significantly, though compliance mandates permanently raise structural overhead.</t>
  </si>
  <si>
    <t>Period</t>
  </si>
  <si>
    <t>Total demat accounts</t>
  </si>
  <si>
    <t>Future Guidance</t>
  </si>
  <si>
    <t>“CDSL does not provide specific revenue or earnings guidance... We provide the roads; cars will ply on that road dynamically based on market conditions.”</t>
  </si>
  <si>
    <t>Company adhered strictly to its no-guidance policy. Revenue and profits moved in tandem with cash delivery turnover and annual folio reset (33.26 Cr folios).</t>
  </si>
  <si>
    <t>Prudent Neutrality</t>
  </si>
  <si>
    <t>Utility infrastructure model where financial outcomes are levered to broader market activity rather than management forecasts.</t>
  </si>
  <si>
    <t>~19.1 crore</t>
  </si>
  <si>
    <t>22.5 crore</t>
  </si>
  <si>
    <t>Management Statement / Stated Objective</t>
  </si>
  <si>
    <t>Actual Outcome &amp; Financial Reality</t>
  </si>
  <si>
    <t>Classification</t>
  </si>
  <si>
    <t>Target Period &amp; Context</t>
  </si>
  <si>
    <t>~25.7 crore</t>
  </si>
  <si>
    <t>Cash Flow Statement</t>
  </si>
  <si>
    <t>https://drive.google.com/drive/folders/1ot1RQnDqQ1FlYVTMdI_oiENd-21yxqOn?usp=sharing</t>
  </si>
  <si>
    <t>"We've continued to maintain our policy guidance on dividend payout at 60% of our operating profits... committed to maximizing shareholder return."</t>
  </si>
  <si>
    <t>In FY24, CDSL paid ₹19 regular + ₹3 special dividend (60% payout). In FY25, CDSL declared a record dividend of ₹12.50 per share (post 1:1 bonus, effective ₹25.00 pre-bonus), achieving a 61.3% standalone operating profit payout.</t>
  </si>
  <si>
    <t>Delivered</t>
  </si>
  <si>
    <t>FY24 to FY25 Payout Stated in Q4 FY25 Concall, Page 5, 12</t>
  </si>
  <si>
    <t>Industry is growing strongly</t>
  </si>
  <si>
    <t>"The massive growth in Demat accounts and scrips in FY25 will translate into higher billed folios and strong growth in Annual Issuer Charges in FY26."</t>
  </si>
  <si>
    <t>Average billable folios surged +46.1% YoY from 22.76 Cr in FY25 to 33.26 Cr in FY26. Standalone Q1 FY26 revenue reached ₹312 Cr (+41.2% YoY vs. ₹221 Cr in Q1 FY25).</t>
  </si>
  <si>
    <t>FY25 to FY26 Billing Stated in Q4 FY25 Concall, Page 13</t>
  </si>
  <si>
    <t>"Unlisted company dematerialization is a major new growth vector following the regulatory mandate... CDSL will actively onboard eligible unlisted firms."</t>
  </si>
  <si>
    <t>Unlisted revenue reached ₹35.95 Cr in FY25 and ₹15.31 Cr in H1 FY26. CDSL admitted 7,079 unlisted companies in H1 FY26 (3,486 in Q1 + 3,593 in Q2). However, CDSL's market share in unlisted admissions is 30%–32%, while NSDL retains ~68%.</t>
  </si>
  <si>
    <t>Partially Delivered</t>
  </si>
  <si>
    <t>FY25 to H1 FY26 Stated in Q4 FY25 &amp; Q1 FY26 Concalls</t>
  </si>
  <si>
    <t>"Centrico Insurance Repository is expanding digital access through a new web portal and the upcoming LIC integration to tap the 90% un-dematerialized insurance market."</t>
  </si>
  <si>
    <t>Centrico launched direct online opening and grew cumulative policies to 18+ Lakhs and e-Insurance accounts to 20+ Lakhs. However, LIC integration was delayed into late November 2025, and annual insurance repository revenue remains modest at ~₹8 Cr (&lt;1% of total revenue).</t>
  </si>
  <si>
    <t>COMPETITORS</t>
  </si>
  <si>
    <t>FY25 to FY26 Stated in Q1 FY26 &amp; Q2 FY26 Concalls</t>
  </si>
  <si>
    <t>Trade Receivables</t>
  </si>
  <si>
    <t>https://drive.google.com/drive/folders/1LaztLcn27Gslff2LfrcjYYoLL-hbg38c?usp=sharing</t>
  </si>
  <si>
    <t>Company</t>
  </si>
  <si>
    <t>Market Cap</t>
  </si>
  <si>
    <t>Business Model</t>
  </si>
  <si>
    <t>Dimension</t>
  </si>
  <si>
    <t>Key Products</t>
  </si>
  <si>
    <t>Specific Item</t>
  </si>
  <si>
    <t>Nature &amp; Impact</t>
  </si>
  <si>
    <t>Evidence from Financial Statements &amp; Concalls</t>
  </si>
  <si>
    <t>Market Position</t>
  </si>
  <si>
    <t>Financial Sources</t>
  </si>
  <si>
    <t>Potential Concern #1</t>
  </si>
  <si>
    <t>Margin Compression from Elevated Technology &amp; Compliance Costs</t>
  </si>
  <si>
    <t>Operating deleverage due to inflexible, fixed tech modernization and 3-vertical SEBI overheads.</t>
  </si>
  <si>
    <t>• Total Expenses grew +25.9% YoY in FY26 (₹391.04 Cr → ₹492.35 Cr) while Revenue grew only +13.2% (₹848.21 Cr → ₹960.45 Cr). • D&amp;A rose from ₹21.22 Cr (FY24) to ₹40.55 Cr (FY25) and ₹54.17 Cr (FY26) due to continuous tech capex. • Consolidated PBT Margin compressed from 61% in FY24 to 58% in FY25 and ~50%–52% in H1 FY26.</t>
  </si>
  <si>
    <t>₹1,145 Cr</t>
  </si>
  <si>
    <t>~₹28,100 Cr</t>
  </si>
  <si>
    <t>Asset-light securities depository; earns transaction fees, annual issuer charges and fees from value-added services</t>
  </si>
  <si>
    <t>Demat &amp; settlement, e-voting, CAS, KYC, corporate actions, insurance &amp; commodity repositories</t>
  </si>
  <si>
    <t>Potential Concern #2</t>
  </si>
  <si>
    <t>Doubling of Trade Receivables &amp; Jump in Debtor Provisions</t>
  </si>
  <si>
    <t>Receivables grew significantly faster than top-line revenue, indicating potential collection lags.</t>
  </si>
  <si>
    <t>Market leader in retail demat accounts; ~80%+ account share</t>
  </si>
  <si>
    <t>• Closing Trade Receivables surged +106.5% YoY in FY26 from ₹31.28 Cr to ₹64.61 Cr (Receivable Days increased from 13.35 days to 18.24 days). • Quarterly debtor impairment provisions rose steadily from ₹0.88 Cr in Q4 FY25 → ₹3.69 Cr in Q1 FY26 → ₹5.07 Cr in Q2 FY26.</t>
  </si>
  <si>
    <t>Ratio Analysis</t>
  </si>
  <si>
    <t>https://drive.google.com/drive/folders/11F8fy2OkJOqn7Cbc1QtJ89R6_88EDHju?usp=sharing</t>
  </si>
  <si>
    <t>Constructed Below</t>
  </si>
  <si>
    <t>Potential Concern #3</t>
  </si>
  <si>
    <t>Cyclical Revenue Volatility in Transaction Charges &amp; CVL (KRA)</t>
  </si>
  <si>
    <t>Direct exposure to market turnover cycles (cash ADTO) and retail onboarding slowdowns.</t>
  </si>
  <si>
    <t>• Combined cash ADTO declined 18% YoY to ₹1.00 Lakh Cr in Q2 FY26. • CVL quarterly revenue fell from ₹64.37 Cr in Q1 FY25 to ₹43.06 Cr in Q1 FY26 (-33.1% YoY), reducing CVL quarterly PAT by -55.5% YoY (₹28.55 Cr → ₹12.71 Cr).</t>
  </si>
  <si>
    <t>Trend Charts</t>
  </si>
  <si>
    <t>Positive Catalyst #1</t>
  </si>
  <si>
    <t>High-Margin Annuity Explosion from Billed Folio Expansion</t>
  </si>
  <si>
    <t>Structural conversion of cumulative retail account openings into high-margin recurring annual issuer fees.</t>
  </si>
  <si>
    <t>• Billed folios expanded +46.1% YoY from 22.76 Cr in FY25 to 33.26 Cr in FY26. • Standalone Q1 FY26 revenue reached ₹312 Cr (+41.2% YoY vs. ₹221 Cr in Q1 FY25), locking in an annuity revenue floor regardless of daily trading turnover.</t>
  </si>
  <si>
    <t xml:space="preserve">Common-size statements </t>
  </si>
  <si>
    <t>Positive Catalyst #2</t>
  </si>
  <si>
    <t>Regulatory Tailwinds from Mandatory Unlisted Dematerialization</t>
  </si>
  <si>
    <t>MCA mandate requiring large unlisted firms to dematerialize securities creates a new recurring fee stream.</t>
  </si>
  <si>
    <t>• Unlisted revenue delivered ₹35.95 Cr in FY25 and ₹15.31 Cr in H1 FY26. • Admitted 7,079 unlisted companies in H1 FY26 (3,486 in Q1 + 3,593 in Q2). • CDSL currently has 30%–32% unlisted share, with further upside as joint ISIN allocation goes live.</t>
  </si>
  <si>
    <t>Positive Catalyst #3</t>
  </si>
  <si>
    <t>Multi-Fold Growth Runway in Centrico Insurance Repository</t>
  </si>
  <si>
    <t>Monetizing the &gt;90% un-dematerialized insurance policy market through direct web onboarding and LIC integration.</t>
  </si>
  <si>
    <t>• Centrico cumulative policies reached 18+ Lakhs and e-Insurance accounts reached 20+ Lakhs. • Signed 2 new insurance clients in H1 FY26, with direct LIC system integration going live in November 2025. • Less than 2 Cr out of 30 Cr annual policies nationwide are currently digitized, offering massive long-term optionality.</t>
  </si>
  <si>
    <t xml:space="preserve"> Trends </t>
  </si>
  <si>
    <t>Analyst Confidence Rating:</t>
  </si>
  <si>
    <t>Competitor</t>
  </si>
  <si>
    <t>~₹1,735 Cr</t>
  </si>
  <si>
    <t>~₹16,474 Cr</t>
  </si>
  <si>
    <t>Securities depository; earns custody fees, annual fees, transaction charges and value-added service fees</t>
  </si>
  <si>
    <t>Demat &amp; settlement, custody, corporate actions, pledging, e-services, KYC and other financial infrastructure</t>
  </si>
  <si>
    <t>Major institutional depository; stronger in custody value</t>
  </si>
  <si>
    <t>https://drive.google.com/drive/folders/1iI4OYGvOLkrs_F9AFgSFqt1tAfxFni55?usp=sharing</t>
  </si>
  <si>
    <t>HIGH CONFIDENCE in Long-Term Structural Execution &amp; Capital Allocation</t>
  </si>
  <si>
    <t>Which line item has grown the most over the last 5 years?</t>
  </si>
  <si>
    <t>MODERATE CONFIDENCE in Short-Term Quarterly Margin Stability</t>
  </si>
  <si>
    <t>Financial Current Assets CAGR FY22-26: 154.4% , Total Growth: 4091.9%</t>
  </si>
  <si>
    <t>Analytical Verdict &amp; Synthesis</t>
  </si>
  <si>
    <t>Has Revenue grown consistently?</t>
  </si>
  <si>
    <t>CDSL demonstrates exemplary operational execution and disciplined capital stewardship, meriting a HIGH CONFIDENCE rating regarding structural franchise expansion, market leadership, and shareholder alignment. As an essential Market Infrastructure Institution (MII) operating in a regulated duopoly, CDSL has cemented its retail dominance by capturing an 80.0% national market share with 16.50 Crore Demat accounts as of Q2 FY26. Management has executed the conversion of retail onboarding momentum into high-margin annuity cash flows, expanding billed folios by 46.1% YoY to 33.26 Crore in FY26 and driving record standalone Q1 FY26 revenues of INR 312 Crore.</t>
  </si>
  <si>
    <t xml:space="preserve">Yes: FY22-26 Revenue (Rs. in Lakhs) : 41480.33 &lt; 45059.96 &lt; 64095.70 &lt; 84820.91 &lt; 96045.23 </t>
  </si>
  <si>
    <t>Furthermore, management’s shareholder-first capital allocation is validated by a debt-free balance sheet, a &gt;INR 1,500 Crore treasury buffer, and a proven track record of returning &gt;60% of operating profits via regular dividends (FY25 payout of 61.3% alongside a 1:1 bonus issue). While management strictly adheres to a conservative "no forward-looking guidance" policy—positioning CDSL as a neutral infrastructure highway ("providing the road")—its strategic priorities are fully aligned with regulatory tailwinds, including unlisted company dematerialization (&gt;7,000 entities admitted in H1 FY26) and upcoming joint ISIN allocation.</t>
  </si>
  <si>
    <t>Has net profit grown at the same pace?</t>
  </si>
  <si>
    <t>Net Profit After Tax Growth % F22-26: 64.8% , 3.2% , 33.5% , 27.2% , 1.3%</t>
  </si>
  <si>
    <t>IMPORTANT: India currently has only two SEBI-registered depositories, CDSL and NSDL, making them the direct competitors in the core depository business.</t>
  </si>
  <si>
    <t>However, we maintain a MODERATE rating regarding near-term earnings predictability due to quarterly transaction volume cyclicality and margin dilution stemming from non-cyclical IT modernization (~70% YoY increase in FY25) and SEBI 3-vertical compliance overheads. Overall, CDSL remains a premier compounding franchise with an established competitive moat, strong operating leverage during market upcycles, and significant long-term optionality in insurance repository dematerialization.</t>
  </si>
  <si>
    <t>Which expense seems to be increasing the fastest?</t>
  </si>
  <si>
    <t>Finance Cost Expense: CAGR: 102.62%, Total Growth 1585.37%. FY22-26 (Rs. in Lakhs): 0.82 , 0.55 , 1.73 , 5.48 , 13.82</t>
  </si>
  <si>
    <t>Assessment Dimension</t>
  </si>
  <si>
    <t>Rating / Score</t>
  </si>
  <si>
    <t>Key Analytical Rationale</t>
  </si>
  <si>
    <t>Competitive Moat &amp; Scale</t>
  </si>
  <si>
    <t>9.5 / 10</t>
  </si>
  <si>
    <t>Comparison of Financial Performance</t>
  </si>
  <si>
    <t>Dominant 80% Demat share; lower transaction pricing (₹3.50/debit) creates deep broker alignment.</t>
  </si>
  <si>
    <t>Capital Allocation &amp; Governance</t>
  </si>
  <si>
    <t>9.0 / 10</t>
  </si>
  <si>
    <t>Did total assets double? Triple?</t>
  </si>
  <si>
    <t>Total Assests (Rs. in Lakhs) FY22: 102652.35 , FY26: 197552.53, Total Growth from FY22 to FY26: 92.44%</t>
  </si>
  <si>
    <t>Consistent ≥60% operating profit dividend payout (61.3% in FY25), zero debt, &gt;₹1,500 Cr cash surplus.</t>
  </si>
  <si>
    <t>Revenue Quality &amp; Annuity Base</t>
  </si>
  <si>
    <t>Metric</t>
  </si>
  <si>
    <t>8.5 / 10</t>
  </si>
  <si>
    <t>CDSL FY24</t>
  </si>
  <si>
    <t>33.26 Cr billed folios lock in predictable, high-margin annual recurring cash generation.</t>
  </si>
  <si>
    <t>CDSL FY25</t>
  </si>
  <si>
    <t>CDSL FY26</t>
  </si>
  <si>
    <t>NSDL FY24</t>
  </si>
  <si>
    <t>NSDL FY25</t>
  </si>
  <si>
    <t>Operating Margin &amp; Cost Control</t>
  </si>
  <si>
    <t>NSDL FY26</t>
  </si>
  <si>
    <t>6.5 / 10</t>
  </si>
  <si>
    <t>IT modernisation (+70% in FY25) and SEBI compliance costs dilute near-term EBITDA margins to ~50%–52%.</t>
  </si>
  <si>
    <t>Formula</t>
  </si>
  <si>
    <t>Has debt increased or decreased?</t>
  </si>
  <si>
    <t>Subsidiary Optionality</t>
  </si>
  <si>
    <t xml:space="preserve">Lease Liabilities (Current + Non-Current) (Rs. in Lakhs) FY22-26: 11.22 , 9.66 , 26.91 , 230.85  , 156.26. From FY22 it increased till FY25 then decreased in FY26 </t>
  </si>
  <si>
    <t>7.5 / 10</t>
  </si>
  <si>
    <t>Centrico IR (LIC tie-up) and MCA unlisted demat mandates provide scalable multi-year growth runways.</t>
  </si>
  <si>
    <t>Revenue (₹ Cr)</t>
  </si>
  <si>
    <t>Revenue Growth</t>
  </si>
  <si>
    <t>—</t>
  </si>
  <si>
    <t>Growth Rates %</t>
  </si>
  <si>
    <t>EBITDA (₹ Cr)</t>
  </si>
  <si>
    <t>PBT + Finance Cost + Depreciation &amp; Amortisation</t>
  </si>
  <si>
    <t>Particulars</t>
  </si>
  <si>
    <t>Net Margin</t>
  </si>
  <si>
    <t>(Net Profit ÷ Revenue from Operations) × 100</t>
  </si>
  <si>
    <t>Revenue YoY Growth</t>
  </si>
  <si>
    <t>ROE</t>
  </si>
  <si>
    <t>-</t>
  </si>
  <si>
    <t>(Net Profit ÷ Average Shareholders' Equity) × 100</t>
  </si>
  <si>
    <t>ROCE</t>
  </si>
  <si>
    <t>(EBIT ÷ Capital Employed) × 100</t>
  </si>
  <si>
    <t>EBITDA YoY Growth</t>
  </si>
  <si>
    <t>–</t>
  </si>
  <si>
    <t>Debt-to-Equity</t>
  </si>
  <si>
    <t>0.0002×</t>
  </si>
  <si>
    <t>0.0017×</t>
  </si>
  <si>
    <t>0.0010×</t>
  </si>
  <si>
    <t>~0.00×</t>
  </si>
  <si>
    <t>Total Debt ÷ Shareholders' Equity</t>
  </si>
  <si>
    <t>Net Profit YoY Growth</t>
  </si>
  <si>
    <t>Cash Flow from Operations (₹ Cr)</t>
  </si>
  <si>
    <t>Total Assets Growth</t>
  </si>
  <si>
    <t>Equity Growth</t>
  </si>
  <si>
    <t>CDSL Performs Financially Better as it has greater EBIDTA, Net Margin, ROE, ROCE, D/E and Cash Flow but almost same revenue growth as of NSDL</t>
  </si>
  <si>
    <t>Competitive Factor</t>
  </si>
  <si>
    <t>Better positioned</t>
  </si>
  <si>
    <t>Market share</t>
  </si>
  <si>
    <t>~80%+ of demat accounts</t>
  </si>
  <si>
    <t>Other Calculations</t>
  </si>
  <si>
    <t>~20% of demat accounts</t>
  </si>
  <si>
    <t>Customer base</t>
  </si>
  <si>
    <t>18.83 Cr investor accounts</t>
  </si>
  <si>
    <t>4.62 Cr active client accounts</t>
  </si>
  <si>
    <t>Geographic presence</t>
  </si>
  <si>
    <t>212 live-connected branches, 331 locations, 116 cities/towns</t>
  </si>
  <si>
    <t>57,011 DP service centres, 2,060 cities/towns</t>
  </si>
  <si>
    <t>Product range</t>
  </si>
  <si>
    <t>Profit Before Tax</t>
  </si>
  <si>
    <t>Depository, e-voting, KYC, insurance repository, MF services, etc.</t>
  </si>
  <si>
    <t>Depository, e-voting, KYC, NSDL Payments Bank, database management and other services</t>
  </si>
  <si>
    <t>Distribution network</t>
  </si>
  <si>
    <t>588 DPs, 19,752 DP locations</t>
  </si>
  <si>
    <t>319 DPs, 57,011 DP service centres</t>
  </si>
  <si>
    <t>Brand strength</t>
  </si>
  <si>
    <t>Strong retail/investor brand, dominant retail presence</t>
  </si>
  <si>
    <t>Strong institutional and capital-market brand</t>
  </si>
  <si>
    <t>NSDL slight edge</t>
  </si>
  <si>
    <t>Finance Cost</t>
  </si>
  <si>
    <t>Capacity</t>
  </si>
  <si>
    <t>Very large retail account and transaction-processing capacity</t>
  </si>
  <si>
    <t>Very large institutional, debt and high-value custody capacity</t>
  </si>
  <si>
    <t>Tie</t>
  </si>
  <si>
    <t>Depreciation &amp; Amortisation</t>
  </si>
  <si>
    <t>Pricing power</t>
  </si>
  <si>
    <t>Strong, but constrained by regulation and competition</t>
  </si>
  <si>
    <t>EBITDA (₹ lakh)</t>
  </si>
  <si>
    <t>EBITDA= PBT+Finance Cost+Depreciation &amp; Amortisation</t>
  </si>
  <si>
    <t>CDSL has very high customer base and market share as compared to NSDL, which was described in the concall transcript for FY2026.</t>
  </si>
  <si>
    <t>NSDL is better customer support facility due to strong Geographic Presence as stated on CDSL and NSDL Websites.</t>
  </si>
  <si>
    <t>NPAT (₹ lakh)</t>
  </si>
  <si>
    <t>Industry Growth Drivers</t>
  </si>
  <si>
    <t>NPAT YoY Growth (%)</t>
  </si>
  <si>
    <t>Factor</t>
  </si>
  <si>
    <t>Relative impact</t>
  </si>
  <si>
    <t>Government policy</t>
  </si>
  <si>
    <t>Total Assets (₹ lakh)</t>
  </si>
  <si>
    <t>1,02,652.35</t>
  </si>
  <si>
    <t>1,14,817.27</t>
  </si>
  <si>
    <t>Positive if policies promote financial inclusion, digital investing, dematerialisation and retail participation.</t>
  </si>
  <si>
    <t>1,40,302.65</t>
  </si>
  <si>
    <t>Similarly positive, particularly through capital-market development and institutional participation.</t>
  </si>
  <si>
    <t>1,71,772.31</t>
  </si>
  <si>
    <t>Positive for both</t>
  </si>
  <si>
    <t>1,97,552.53</t>
  </si>
  <si>
    <t>Technology</t>
  </si>
  <si>
    <t>Assets YoY Growth (%)</t>
  </si>
  <si>
    <r>
      <t>Technology is critical for handling its very large retail account base and transaction volumes. Greater digitisation can increase efficiency and account growth, but cyber/IT risks also increase. (</t>
    </r>
    <r>
      <rPr>
        <rFont val="Arial"/>
        <color rgb="FF1155CC"/>
        <sz val="10.0"/>
        <u/>
      </rPr>
      <t>CDSL India</t>
    </r>
    <r>
      <rPr>
        <rFont val="Arial"/>
        <sz val="10.0"/>
      </rPr>
      <t>)</t>
    </r>
  </si>
  <si>
    <t>Total Equity (₹ lakh)</t>
  </si>
  <si>
    <t>1,15,987.76</t>
  </si>
  <si>
    <t>1,39,128.46</t>
  </si>
  <si>
    <t>1,59,817.16</t>
  </si>
  <si>
    <t>Equity YoY Growth (%)</t>
  </si>
  <si>
    <t>Opening Receivables (₹ lakh)</t>
  </si>
  <si>
    <r>
      <t>Equally technology-dependent, with greater emphasis on institutional and high-value market infrastructure. NSDL also faces pressure to continuously innovate. (</t>
    </r>
    <r>
      <rPr>
        <rFont val="Arial"/>
        <color rgb="FF1155CC"/>
        <sz val="10.0"/>
        <u/>
      </rPr>
      <t>MSEI</t>
    </r>
    <r>
      <rPr>
        <rFont val="Arial"/>
        <sz val="10.0"/>
      </rPr>
      <t>)</t>
    </r>
  </si>
  <si>
    <t>Closing Receivables (₹ lakh)</t>
  </si>
  <si>
    <t>Average Receivables (₹ lakh)</t>
  </si>
  <si>
    <t>Revenue from Operations (₹ lakh)</t>
  </si>
  <si>
    <t>High impact on both</t>
  </si>
  <si>
    <t>Receivable Days</t>
  </si>
  <si>
    <t>Demographics</t>
  </si>
  <si>
    <t>Very positive: India's growing young, digitally active investor population supports CDSL's large retail customer base.</t>
  </si>
  <si>
    <t>Positive, but comparatively less exposed to retail demographic growth.</t>
  </si>
  <si>
    <t>CDSL benefits more</t>
  </si>
  <si>
    <t>(Avg Trade Receivables/Revenue)*365</t>
  </si>
  <si>
    <t>Interest rates</t>
  </si>
  <si>
    <t>Higher rates can reduce retail risk appetite and equity-market activity, potentially affecting transaction-related revenue. Lower rates generally support market participation.</t>
  </si>
  <si>
    <t>Similar effect, although NSDL's institutional exposure can make the transmission somewhat different.</t>
  </si>
  <si>
    <t>Both affected</t>
  </si>
  <si>
    <t xml:space="preserve">(Average = Opening + Closing)/2 </t>
  </si>
  <si>
    <t>Commodity prices</t>
  </si>
  <si>
    <t>Indirect impact. Commodity-price volatility can affect investor sentiment, corporate activity and market volumes.</t>
  </si>
  <si>
    <t>Similar indirect impact.</t>
  </si>
  <si>
    <t>Low / indirect for both</t>
  </si>
  <si>
    <t>Regulation</t>
  </si>
  <si>
    <t>Very high impact. Depositories operate under SEBI regulations; changes in settlement, KYC, investor protection, data and technology requirements can materially affect operations and costs.</t>
  </si>
  <si>
    <t>Very high impact for the same reason.</t>
  </si>
  <si>
    <t>Very high for both</t>
  </si>
  <si>
    <t>Consumer behaviour</t>
  </si>
  <si>
    <r>
      <t>Highly important: increasing retail investing, IPO participation, demat adoption and preference for digital platforms directly support CDSL. CDSL's demat-account market share reached 79% in FY25. (</t>
    </r>
    <r>
      <rPr>
        <rFont val="Arial"/>
        <color rgb="FF1155CC"/>
        <sz val="10.0"/>
        <u/>
      </rPr>
      <t>NSE India Archives</t>
    </r>
    <r>
      <rPr>
        <rFont val="Arial"/>
        <sz val="10.0"/>
      </rPr>
      <t>)</t>
    </r>
  </si>
  <si>
    <t>Questions</t>
  </si>
  <si>
    <t>Is growth accelerating or slowing?</t>
  </si>
  <si>
    <t>Revenue Decreased in 2025, Npat has significant decresed in FY26.</t>
  </si>
  <si>
    <t>Positive, but NSDL has a relatively stronger institutional orientation.</t>
  </si>
  <si>
    <t>Was there an unusual year?</t>
  </si>
  <si>
    <t>Global competition</t>
  </si>
  <si>
    <t>Low direct impact. Foreign depositories are not direct substitutes in India's domestic securities depository market, although global technology and market-infrastructure standards matter.</t>
  </si>
  <si>
    <t>Similar.</t>
  </si>
  <si>
    <t>Low for both</t>
  </si>
  <si>
    <t>Why might that have happened?</t>
  </si>
  <si>
    <t>Porter's Five Forces</t>
  </si>
  <si>
    <t>Assess: (for the company CDSL)</t>
  </si>
  <si>
    <t>Notes</t>
  </si>
  <si>
    <t>NPAT moves along EDITDA</t>
  </si>
  <si>
    <t>Force</t>
  </si>
  <si>
    <t>Rating</t>
  </si>
  <si>
    <t>Short justification</t>
  </si>
  <si>
    <t>Competitive rivalry</t>
  </si>
  <si>
    <t>Assets and Equity grew in 2024 and 2025, then came back to original position in 2026</t>
  </si>
  <si>
    <t>Low</t>
  </si>
  <si>
    <t>Only two major depositories, CDSL and NSDL, creating a highly concentrated market.</t>
  </si>
  <si>
    <t>Threat of new entrants</t>
  </si>
  <si>
    <t>SEBI regulation, high technology requirements and established scale create significant entry barriers.</t>
  </si>
  <si>
    <t>Supplier power</t>
  </si>
  <si>
    <t>CDSL is not dependent on a small number of critical suppliers for its core operations.</t>
  </si>
  <si>
    <t>Buyer power</t>
  </si>
  <si>
    <t>Low–Medium</t>
  </si>
  <si>
    <t>Large retail customer base reduces dependence on individual customers, although DPs can influence volumes.</t>
  </si>
  <si>
    <t>Threat of substitutes</t>
  </si>
  <si>
    <t>No practical substitute for a regulated electronic securities depository in India's market infrastructure.</t>
  </si>
  <si>
    <t>CDSL's Competitive Advantage</t>
  </si>
  <si>
    <t>Potential Competitive Advantage</t>
  </si>
  <si>
    <t>Evidence / Why it matters</t>
  </si>
  <si>
    <t>Scale</t>
  </si>
  <si>
    <t>18+ crore investor accounts create significant economies of scale and infrastructure advantages.</t>
  </si>
  <si>
    <t>Network effects</t>
  </si>
  <si>
    <t>Large network of investors and 588 DPs makes CDSL increasingly valuable to market participants.</t>
  </si>
  <si>
    <t>Regulatory advantage</t>
  </si>
  <si>
    <t>SEBI-regulated depository infrastructure creates high entry barriers for potential new competitors.</t>
  </si>
  <si>
    <t>CDSL's advantages are reasonably sustainable because they reinforce each other: scale → stronger network → higher entry barriers. However, they are not permanent, as NSDL remains a strong established competitor and regulation can change.</t>
  </si>
  <si>
    <t>SWOT Analysis</t>
  </si>
  <si>
    <t>Strengths</t>
  </si>
  <si>
    <t>~80%+ share of India's demat accounts, giving CDSL a dominant retail position.</t>
  </si>
  <si>
    <t>Horizontal Analysis (Trend)</t>
  </si>
  <si>
    <t>18+ crore investor accounts provide significant scale and operating leverage.</t>
  </si>
  <si>
    <t>Strong financial performance: FY26 ROE of 31.33% and ROCE of 36.93%.</t>
  </si>
  <si>
    <t>Weaknesses</t>
  </si>
  <si>
    <t>Abs Change 23-22</t>
  </si>
  <si>
    <t>High dependence on the Indian capital market, making transaction-related revenues sensitive to market activity.</t>
  </si>
  <si>
    <t>YoY % 23-22</t>
  </si>
  <si>
    <t>Abs Change 24-23</t>
  </si>
  <si>
    <t>YoY % 24-23</t>
  </si>
  <si>
    <t>Abs Change 25-24</t>
  </si>
  <si>
    <t>YoY % 25-24</t>
  </si>
  <si>
    <t>Abs Change 26-25</t>
  </si>
  <si>
    <t>YoY % 26-25</t>
  </si>
  <si>
    <t>Revenue growth is moderating, from 32.33% in FY25 to 13.23% in FY26.</t>
  </si>
  <si>
    <t>Revenue from Operations</t>
  </si>
  <si>
    <t>Net margin declined from 56.68% in FY24 to 48.75% in FY26.</t>
  </si>
  <si>
    <t>Opportunities</t>
  </si>
  <si>
    <t>Other Income</t>
  </si>
  <si>
    <t>Continued growth in India's demat accounts and retail participation can expand CDSL's customer base.</t>
  </si>
  <si>
    <t>Increasing digitalisation and financialisation of savings can increase demand for depository and value-added services.</t>
  </si>
  <si>
    <t>Total Income</t>
  </si>
  <si>
    <t>Expansion of KYC, e-voting, insurance and other digital services can diversify revenue beyond core depository services.</t>
  </si>
  <si>
    <t>Employee Benefits Expense</t>
  </si>
  <si>
    <t>Threats</t>
  </si>
  <si>
    <t>NSDL is the only major direct competitor, creating continuing competitive pressure.</t>
  </si>
  <si>
    <t>Changes in SEBI regulations could increase compliance costs or alter the operating model.</t>
  </si>
  <si>
    <t>Other Expenses</t>
  </si>
  <si>
    <t>Cybersecurity or technology failures could disrupt critical market infrastructure and damage trust.</t>
  </si>
  <si>
    <t>Total Expenses</t>
  </si>
  <si>
    <t>Tax Expense</t>
  </si>
  <si>
    <t>Net Profit After Tax</t>
  </si>
  <si>
    <t>Cash Flow from Operations</t>
  </si>
  <si>
    <t>Cash Flow from Investing</t>
  </si>
  <si>
    <t>Cash Flow from Financing</t>
  </si>
  <si>
    <t>Net Increase/(Decrease) in Cash</t>
  </si>
  <si>
    <t>Cash &amp; Cash Equivalents</t>
  </si>
  <si>
    <t>Total Non-Current Assets</t>
  </si>
  <si>
    <t>Total Current Assets</t>
  </si>
  <si>
    <t>Total Assets</t>
  </si>
  <si>
    <t>Total Equity</t>
  </si>
  <si>
    <t>Total Non-Current Liabilities</t>
  </si>
  <si>
    <t>Total Current Liabilities</t>
  </si>
  <si>
    <t>Total Liabilities</t>
  </si>
  <si>
    <t>Questions:</t>
  </si>
  <si>
    <t>Which account changed the most?</t>
  </si>
  <si>
    <t>Total Non-Current Assets grew 129.6% in FY23, then just 20.65% in FY24, then 1.52% in FY25, then 37.02% in FY26 (Most fluchuating)</t>
  </si>
  <si>
    <t>Is inventory growing faster than sales?</t>
  </si>
  <si>
    <t>No Inventory (NA)</t>
  </si>
  <si>
    <t>Is debt growing faster than assets?</t>
  </si>
  <si>
    <t>Debt: Lease Liabilities (Current + Non-Current) (Rs. in Lakhs) FY22-26: 11.22 , 9.66 , 26.91 , 230.85  , 156.26. From FY22 it increased till FY25 then decreased in FY26 . Debt Growth From FY22-FY26 = 1292%.Total Asset Growth From FY22-FY26 =92.4%</t>
  </si>
  <si>
    <t>Particulars (Income Statement)</t>
  </si>
  <si>
    <t>FY22_RAW</t>
  </si>
  <si>
    <t>FY23_RAW</t>
  </si>
  <si>
    <t>FY24_RAW</t>
  </si>
  <si>
    <t>FY25_RAW</t>
  </si>
  <si>
    <t>FY26_RAW</t>
  </si>
  <si>
    <t>Particulars (Balance Sheet)</t>
  </si>
  <si>
    <t>Working Capital</t>
  </si>
  <si>
    <t>Working Capital = Current Assets - Current Liabilities</t>
  </si>
  <si>
    <t>Is the company becoming more profitable?</t>
  </si>
  <si>
    <t>NPAT Increased till FY25 but in FY25-26, Total Expense increase a lot , especially Other Expenses, so NPAT stayed almost same.</t>
  </si>
  <si>
    <t>Are expenses consuming more revenue?</t>
  </si>
  <si>
    <t>Expenses are constantly increasing. Reached to 46.1% of Revenue in FY25-26</t>
  </si>
  <si>
    <t>Is working capital improving?</t>
  </si>
  <si>
    <t>Overall Working Capital has improved since FY22 but has fell in FY23 and FY26</t>
  </si>
  <si>
    <t>Profitability Ratio</t>
  </si>
  <si>
    <t>Remarks</t>
  </si>
  <si>
    <t>Gross Margin</t>
  </si>
  <si>
    <t>((Revenue-COGS)/Revenue)*100</t>
  </si>
  <si>
    <t>No COGS (NA)</t>
  </si>
  <si>
    <t>EBITDA Margin</t>
  </si>
  <si>
    <t>(EBITDA/Revenue)*100</t>
  </si>
  <si>
    <t>(NPAT/Revenue)*100</t>
  </si>
  <si>
    <t>(NPAT/Average Equity)*100</t>
  </si>
  <si>
    <t>FY22 uses closing equity</t>
  </si>
  <si>
    <t>(EBIT/Average Capital Employed)*100</t>
  </si>
  <si>
    <t>FY22 uses closing capital employed</t>
  </si>
  <si>
    <t>Capital Employed= Total Assets - Current Liabities</t>
  </si>
  <si>
    <t>Liquidity Ratio</t>
  </si>
  <si>
    <t>Current Ratio</t>
  </si>
  <si>
    <t>Current Assets(CA)/Current Liabilities(CL)</t>
  </si>
  <si>
    <t>Quick Ratio</t>
  </si>
  <si>
    <t>(CA-Inventory-Prepaid Expenses)/CL</t>
  </si>
  <si>
    <t>≈ Current Ratio (Negligible Prepaid Expenses)</t>
  </si>
  <si>
    <t>Solvency Ratio</t>
  </si>
  <si>
    <t>Debt/Equity</t>
  </si>
  <si>
    <t xml:space="preserve">Debt = Lease Liabilities (Current + Non-Current) (Rs. in Lakhs) FY22-26: 11.22 , 9.66 , 26.91 , 230.85  , 156.26. From FY22 it increased till FY25 then decreased in FY26 </t>
  </si>
  <si>
    <t>Interest Coverage</t>
  </si>
  <si>
    <t>EBIT/Finance Cost</t>
  </si>
  <si>
    <t>Efficiency Ratio</t>
  </si>
  <si>
    <t>Asset Turnover</t>
  </si>
  <si>
    <t>Revenue/Average Assets</t>
  </si>
  <si>
    <t>Inventory Turnover</t>
  </si>
  <si>
    <t>COGS/Average Inventory</t>
  </si>
  <si>
    <t>Taking Average as Revenue from Operations is earned throughout the year, while Trade Receivables on the Balance Sheet is only the balance at the end of the year</t>
  </si>
  <si>
    <t>Project 5- Equity Research Report</t>
  </si>
  <si>
    <t xml:space="preserve">Company Overview </t>
  </si>
  <si>
    <t>Central Depository Services (India) Limited (CDSL) is a central securities depository in India. In simple terms, it provides the infrastructure that allows investors' financial securities, such as shares and other securities, to be held and maintained in electronic/demat form. It also maintains ownership records and supports the settlement of securities transactions through registered intermediaries.</t>
  </si>
  <si>
    <t>CDSL acts as an infrastructure provider for India's securities market.</t>
  </si>
  <si>
    <t>CDSL generally operates through registered intermediaries, rather than directly serving investors in the same way a broker does.</t>
  </si>
  <si>
    <t>CDSL's revenue is primarily connected to the securities depository and capital-market ecosystem.</t>
  </si>
  <si>
    <t>CDSL is highly profitable because its business is relatively asset-light, while its infrastructure generates recurring revenue as India's demat and capital-market activity expands.</t>
  </si>
  <si>
    <t>CDSL's business is primarily focused on India. Its operations are linked to India's securities and capital markets.</t>
  </si>
  <si>
    <t>Therefore, unlike a multinational company that derives substantial revenue from overseas markets, CDSL's growth is largely dependent on:</t>
  </si>
  <si>
    <t>Growth in India's investor base</t>
  </si>
  <si>
    <t>Increase in demat accounts</t>
  </si>
  <si>
    <t>Equity-market participation</t>
  </si>
  <si>
    <t>New securities issuance</t>
  </si>
  <si>
    <t>Trading and settlement activity</t>
  </si>
  <si>
    <t>Financialisation of household savings</t>
  </si>
  <si>
    <t>CDSL's core services are centred around:</t>
  </si>
  <si>
    <t>Electronic/demat holding of securities</t>
  </si>
  <si>
    <t>Maintenance of securities ownership records</t>
  </si>
  <si>
    <t>Settlement of securities transactions</t>
  </si>
  <si>
    <t>Depository services through registered intermediaries</t>
  </si>
  <si>
    <t>Other capital-market infrastructure-related services</t>
  </si>
  <si>
    <t>FInancials</t>
  </si>
  <si>
    <t>₹ crore</t>
  </si>
  <si>
    <t>FY22</t>
  </si>
  <si>
    <t>FY23</t>
  </si>
  <si>
    <t>FY24</t>
  </si>
  <si>
    <t>FY25</t>
  </si>
  <si>
    <t>FY26</t>
  </si>
  <si>
    <t>EBITDA</t>
  </si>
  <si>
    <t>Net Profit</t>
  </si>
  <si>
    <t>Expected Financials</t>
  </si>
  <si>
    <t>FY27E</t>
  </si>
  <si>
    <t>FY28E</t>
  </si>
  <si>
    <t>FY29E</t>
  </si>
  <si>
    <t>FY30E</t>
  </si>
  <si>
    <t>FY31E</t>
  </si>
  <si>
    <t>EBIT</t>
  </si>
  <si>
    <t>NOPAT</t>
  </si>
  <si>
    <t>FCFF</t>
  </si>
  <si>
    <t>Economy Analysis</t>
  </si>
  <si>
    <t>India's economy remains broadly supportive of the capital-market infrastructure sector. Strong economic growth, improving financialisation and rising retail participation are creating a favourable environment for CDSL.</t>
  </si>
  <si>
    <t>Indian Economy: India continues to be one of the fastest-growing major economies. Higher GDP growth supports income, savings and investment, which increases participation in equity markets. This creates a positive environment for CDSL's depository business.</t>
  </si>
  <si>
    <t>Inflation: Moderate inflation is supportive of household purchasing power and investment activity. However, persistent inflation could reduce disposable income and limit retail participation in financial markets.</t>
  </si>
  <si>
    <t>Interest Rates: Lower interest rates generally improve investor risk appetite and encourage equity-market participation. This can benefit CDSL through higher market activity and transaction volumes.</t>
  </si>
  <si>
    <t>Foreign Exchange Reserves: India's strong foreign-exchange reserves provide a buffer against external shocks and support overall financial stability, indirectly strengthening investor confidence.</t>
  </si>
  <si>
    <t>Overall Impact on CDSL: The combination of strong GDP growth, moderate inflation, supportive interest rates and increasing financialisation is positive for CDSL. The major long-term opportunity comes from rising retail participation, digital investing and the expansion of India's demat ecosystem. The key risks are higher inflation, rising interest rates and a decline in investor sentiment.</t>
  </si>
  <si>
    <t xml:space="preserve"> Industry Analysis</t>
  </si>
  <si>
    <t>A. Industry Overview</t>
  </si>
  <si>
    <t>CDSL operates in India's securities depository and capital-market infrastructure industry. Depositories provide the infrastructure required for holding and transferring securities in electronic form. CDSL benefits directly from the growth of India's equity and investment ecosystem.</t>
  </si>
  <si>
    <t>B. Industry Size</t>
  </si>
  <si>
    <t>India's capital-market ecosystem has expanded significantly with the rapid increase in demat accounts, retail investors and securities-market participation. The industry is supported by India's large and growing investor base and increasing financialisation of household savings.</t>
  </si>
  <si>
    <t>C. Industry Growth</t>
  </si>
  <si>
    <t>The industry is experiencing strong structural growth, driven by increasing retail participation, digitalisation and the shift from physical to electronic securities. CDSL's own revenue increased from ₹414.8 crore in FY22 to ₹960.5 crore in FY26, reflecting the favourable industry environment.</t>
  </si>
  <si>
    <t>D. Major Industry Trends</t>
  </si>
  <si>
    <t>Rapid growth in demat accounts and retail investors</t>
  </si>
  <si>
    <t>Increasing financialisation of household savings</t>
  </si>
  <si>
    <t>Greater adoption of digital investing</t>
  </si>
  <si>
    <t>Increasing securities-market participation</t>
  </si>
  <si>
    <t>Regulatory development and strengthening of market infrastructure</t>
  </si>
  <si>
    <t>Growing use of technology across the financial ecosystem</t>
  </si>
  <si>
    <t>E. Potential Disruptions</t>
  </si>
  <si>
    <t>The major potential disruptions are technological changes, fintech innovation and regulatory changes. New digital platforms can alter how investors access financial markets, while regulatory changes can affect the way depositories operate and generate revenue.</t>
  </si>
  <si>
    <t>F. Major Competitors</t>
  </si>
  <si>
    <t>The principal competitor in India's depository industry is NSDL (National Securities Depository Limited). CDSL and NSDL are the two major securities depositories serving India's capital markets.</t>
  </si>
  <si>
    <t>Competitors</t>
  </si>
  <si>
    <t>P/E</t>
  </si>
  <si>
    <t>68.04×</t>
  </si>
  <si>
    <t>46.62×</t>
  </si>
  <si>
    <t>Analyst's Opinion</t>
  </si>
  <si>
    <t>CDSL deserves to trade at a premium to NSDL because it combines higher growth, superior profitability and a stronger retail-market position. CDSL's FY25 revenue grew 32.3%, compared with approximately 12.0% for NSDL, while its EBITDA margin of 74.8% was substantially higher than NSDL's 32.1%. CDSL also benefits from its dominant retail presence, with over 18 crore demat accounts, creating significant scale and network advantages.</t>
  </si>
  <si>
    <t>The premium valuation is therefore supported by better operating economics and stronger structural growth potential. However, the premium should not be unlimited. CDSL's high valuation already reflects much of its growth potential, while FY26 showed a sharp slowdown in profit growth, with standalone net profit increasing only 1% despite 11% growth in total income.</t>
  </si>
  <si>
    <t>Overall, CDSL merits a valuation premium over NSDL, but its current premium leaves a relatively limited margin of safety. The market is effectively pricing CDSL as the higher-quality, higher-growth depository, and continued premium valuation would require sustained growth, strong margins and successful monetisation of its expanding investor base.</t>
  </si>
  <si>
    <t>PAT</t>
  </si>
  <si>
    <t>Debt*</t>
  </si>
  <si>
    <t>Equity</t>
  </si>
  <si>
    <t>CFO</t>
  </si>
  <si>
    <t>Capex</t>
  </si>
  <si>
    <t>FCF</t>
  </si>
  <si>
    <t>FCF=CFO−Capex</t>
  </si>
  <si>
    <t>CAGR Growth</t>
  </si>
  <si>
    <t>5-Year CAGR</t>
  </si>
  <si>
    <t>CAGR=(FY26/FY22​)^1/4−1 with EPS adjusted for the 1:1 bonus issue.</t>
  </si>
  <si>
    <t>₹414.8 Cr</t>
  </si>
  <si>
    <t>₹960.5 Cr</t>
  </si>
  <si>
    <t>₹347.5 Cr</t>
  </si>
  <si>
    <t>₹657.9 Cr</t>
  </si>
  <si>
    <t>₹263.8 Cr</t>
  </si>
  <si>
    <t>₹468.2 Cr</t>
  </si>
  <si>
    <t>EPS</t>
  </si>
  <si>
    <t>₹12.62</t>
  </si>
  <si>
    <t>₹22.40</t>
  </si>
  <si>
    <t>Margin Analysis</t>
  </si>
  <si>
    <t>EBIT Margin</t>
  </si>
  <si>
    <t>Net Profit Margin</t>
  </si>
  <si>
    <t>Margins are deteriorating. CDSL's EBITDA margin declined from 83.8% in FY22 to 68.5% in FY26, while EBIT margin fell from 81.3% to 62.8% and net profit margin from 63.6% to 48.7%.</t>
  </si>
  <si>
    <t>The primary reason is that operating costs have increased faster than revenue, particularly employee expenses, technology-related expenditure and depreciation as CDSL continues investing in its infrastructure. This has resulted in revenue growing strongly, but with lower incremental profitability.</t>
  </si>
  <si>
    <t>Overall, the decline in margins is a key concern despite CDSL remaining highly profitable. The business still has strong structural economics, but sustaining its premium valuation will require CDSL to stabilise margins and convert future revenue growth into stronger profit growth.</t>
  </si>
  <si>
    <t>Return and Capital Efficiency</t>
  </si>
  <si>
    <t>ROE = PAT / Average Shareholders' Equity</t>
  </si>
  <si>
    <t>ROCE = EBIT / Capital Employed</t>
  </si>
  <si>
    <t>0.40×</t>
  </si>
  <si>
    <t>0.41×</t>
  </si>
  <si>
    <t>0.50×</t>
  </si>
  <si>
    <t>0.54×</t>
  </si>
  <si>
    <t>0.52×</t>
  </si>
  <si>
    <t>Asset Turnover = Revenue / Average Assets</t>
  </si>
  <si>
    <t>0.0001×</t>
  </si>
  <si>
    <t>Debt-to-Equity = Total Debt / Equity</t>
  </si>
  <si>
    <t>Interpretation</t>
  </si>
  <si>
    <t>ROE: CDSL generates strong returns on shareholders' capital. ROE improved from 31.0% in FY22 to 36.2% in FY25, before declining to 31.3% in FY26, primarily reflecting the sharp slowdown in PAT growth.</t>
  </si>
  <si>
    <t>ROCE: ROCE follows a similar pattern, rising from 39.7% to 46.5% by FY25 before falling to 40.3% in FY26. Despite the decline, capital efficiency remains very strong.</t>
  </si>
  <si>
    <t>Asset Turnover: Asset turnover improved from 0.40× to 0.54× by FY25, indicating better utilisation of the growing asset base. It moderated slightly to 0.52× in FY26.</t>
  </si>
  <si>
    <t>Debt-to-Equity: CDSL is effectively debt-free. The ratio remains below 0.002× throughout the period, meaning the company relies overwhelmingly on equity/internal resources rather than debt financing.</t>
  </si>
  <si>
    <t>Analysing Earnings Quality</t>
  </si>
  <si>
    <t>CFO / PAT</t>
  </si>
  <si>
    <t>0.88×</t>
  </si>
  <si>
    <t>0.76×</t>
  </si>
  <si>
    <t>0.92×</t>
  </si>
  <si>
    <t>0.96×</t>
  </si>
  <si>
    <t>A CFO/PAT ratio close to 1× indicates good cash conversion. CDSL has remained reasonably close to this level throughout the period. FY26 CFO of ₹430.7 crore was approximately 92% of PAT, indicating that reported earnings were largely backed by cash generated from operations. The FY26 annual report also reports standalone CFO of ₹430.73 crore.</t>
  </si>
  <si>
    <t>Working Capital Item</t>
  </si>
  <si>
    <t>Trend / Observation</t>
  </si>
  <si>
    <t>Receivables</t>
  </si>
  <si>
    <t>Increased significantly, particularly in FY26</t>
  </si>
  <si>
    <t>Trade receivables increased from ₹31.28 crore in FY25 to ₹35.58 crore in FY26 in the balance-sheet data.</t>
  </si>
  <si>
    <t>The annual report's cash-flow statement shows a ₹24.68 crore increase in trade receivables during FY26, which was a use of operating cash.</t>
  </si>
  <si>
    <t>This is a negative earnings-quality signal, although it has not yet prevented CDSL from maintaining strong CFO.</t>
  </si>
  <si>
    <t>Inventory</t>
  </si>
  <si>
    <t>Not applicable / no material inventory</t>
  </si>
  <si>
    <t>Payables</t>
  </si>
  <si>
    <t>Increased, providing some operating cash support</t>
  </si>
  <si>
    <t>Trade payables increased from approximately ₹26.59 crore in FY25 to ₹37.56 crore in FY26, providing a positive working-capital contribution.</t>
  </si>
  <si>
    <t>The FY26 cash-flow statement confirms a ₹10.97 crore increase in trade payables, which supported operating cash generation.</t>
  </si>
  <si>
    <t>Generally manageable, but receivables require monitoring</t>
  </si>
  <si>
    <t>Free Cash Flow</t>
  </si>
  <si>
    <t>Below</t>
  </si>
  <si>
    <t>This red flag is not currently evident in CDSL's financials. While PAT increased from ₹462.1 crore in FY25 to ₹468.2 crore in FY26, CFO declined from ₹442.8 crore to ₹430.7 crore. Therefore, there is a mild divergence between accounting profit and operating cash flow in FY26.</t>
  </si>
  <si>
    <t>The decline in CFO was mainly associated with higher working-capital requirements, particularly the increase in trade receivables. The FY26 cash-flow statement shows a ₹24.68 crore cash outflow from the increase in trade receivables, partly offset by higher trade payables and other liabilities.</t>
  </si>
  <si>
    <t>However, the divergence is not severe enough to indicate poor earnings quality, because CFO still stood at approximately 92% of PAT and CDSL generated around ₹331 crore of FCF in FY26.</t>
  </si>
  <si>
    <t>Management &amp; Corporate Governance</t>
  </si>
  <si>
    <t>Area</t>
  </si>
  <si>
    <t>Findings</t>
  </si>
  <si>
    <t>Analyst's View</t>
  </si>
  <si>
    <t>Promoter holding</t>
  </si>
  <si>
    <t>BSE Ltd. is the promoter, with approximately 15% holding.</t>
  </si>
  <si>
    <t>Moderate promoter ownership, with the company also subject to strong regulatory oversight.</t>
  </si>
  <si>
    <t>Promoter pledge</t>
  </si>
  <si>
    <t>No material promoter pledge identified in the latest disclosures.</t>
  </si>
  <si>
    <t>Positive, as promoter shares are not materially encumbered.</t>
  </si>
  <si>
    <t>Institutional ownership</t>
  </si>
  <si>
    <t>CDSL has meaningful FII/FPI and domestic institutional participation, alongside a large retail shareholder base.</t>
  </si>
  <si>
    <t>Institutional participation provides market scrutiny and supports governance discipline.</t>
  </si>
  <si>
    <t>Related-party transactions</t>
  </si>
  <si>
    <r>
      <t>Transactions are primarily with subsidiaries/group entities and include routine expenses, employee-related items and other ordinary-course transactions. FY26 disclosures show transactions with CDSL Ventures, CCRL and BSE-related entities. (</t>
    </r>
    <r>
      <rPr>
        <color rgb="FF1155CC"/>
        <sz val="10.0"/>
        <u/>
      </rPr>
      <t>CDSL India</t>
    </r>
    <r>
      <rPr>
        <sz val="10.0"/>
      </rPr>
      <t>)</t>
    </r>
  </si>
  <si>
    <t>Project 6 : Report and Presentation</t>
  </si>
  <si>
    <t>No major unusual transaction identified from the disclosed FY26 related-party transactions.</t>
  </si>
  <si>
    <t>EQUITY RESEARCH REPORT</t>
  </si>
  <si>
    <t>https://drive.google.com/drive/folders/1HHO_zre2sezdU5E5GrhsRSAf9M4_rcpj?usp=sharing</t>
  </si>
  <si>
    <t>Auditor</t>
  </si>
  <si>
    <t>S. R. Batliboi &amp; Co. LLP, Chartered Accountants.</t>
  </si>
  <si>
    <t>Reputed Big Four-affiliated auditor.</t>
  </si>
  <si>
    <t>Auditor qualifications</t>
  </si>
  <si>
    <r>
      <t>FY26 standalone and consolidated financial statements received an unmodified audit opinion. (</t>
    </r>
    <r>
      <rPr>
        <color rgb="FF1155CC"/>
        <sz val="10.0"/>
        <u/>
      </rPr>
      <t>CDSL India</t>
    </r>
    <r>
      <rPr>
        <sz val="10.0"/>
      </rPr>
      <t>)</t>
    </r>
  </si>
  <si>
    <t>PITCH DECK</t>
  </si>
  <si>
    <t>https://drive.google.com/drive/folders/1fPYjYtHBJHn2W5lPWD9FwYSVJWe0iBM8?usp=sharing</t>
  </si>
  <si>
    <t>Positive, no material audit qualification reported.</t>
  </si>
  <si>
    <t>Management commentary</t>
  </si>
  <si>
    <r>
      <t>Management continues to emphasise technology investment, scalability, increasing demat penetration, investor inclusion and expansion of adjacent businesses. CDSL crossed 18 crore demat accounts in FY26. (</t>
    </r>
    <r>
      <rPr>
        <color rgb="FF1155CC"/>
        <sz val="10.0"/>
        <u/>
      </rPr>
      <t>CDSL India</t>
    </r>
    <r>
      <rPr>
        <sz val="10.0"/>
      </rPr>
      <t>)</t>
    </r>
  </si>
  <si>
    <t>Strategy is aligned with long-term structural growth, although technology spending is putting pressure on margins.</t>
  </si>
  <si>
    <t>Capital allocation</t>
  </si>
  <si>
    <t>Strong internal cash generation, continued technology/infrastructure investment and regular dividends.</t>
  </si>
  <si>
    <t>Generally shareholder-friendly while retaining sufficient capital for growth.</t>
  </si>
  <si>
    <t>Dividend policy</t>
  </si>
  <si>
    <r>
      <t>FY25 dividend was ₹12.50/share; for FY26, the Board recommended ₹12.75/share, subject to shareholder approval. (</t>
    </r>
    <r>
      <rPr>
        <color rgb="FF1155CC"/>
        <sz val="10.0"/>
        <u/>
      </rPr>
      <t>CDSL India</t>
    </r>
    <r>
      <rPr>
        <sz val="10.0"/>
      </rPr>
      <t>)</t>
    </r>
  </si>
  <si>
    <t>Consistent dividend distribution demonstrates strong cash-generation and shareholder orientation.</t>
  </si>
  <si>
    <t>Buybacks</t>
  </si>
  <si>
    <t>No significant CDSL share buyback identified in the recent period.</t>
  </si>
  <si>
    <t>Capital is being returned primarily through dividends rather than buybacks.</t>
  </si>
  <si>
    <t>Acquisitions / investments</t>
  </si>
  <si>
    <r>
      <t>CDSL continues developing subsidiaries and adjacent businesses. In FY26, Centrico Insurance Repository received approval for a proposed investment in RIX Systems &amp; Solutions, supporting expansion in insurance technology. (</t>
    </r>
    <r>
      <rPr>
        <color rgb="FF1155CC"/>
        <sz val="10.0"/>
        <u/>
      </rPr>
      <t>CDSL India</t>
    </r>
    <r>
      <rPr>
        <sz val="10.0"/>
      </rPr>
      <t>)</t>
    </r>
  </si>
  <si>
    <t>Expansion is strategically related to CDSL's broader financial-market infrastructure ecosystem rather than unrelated diversification.</t>
  </si>
  <si>
    <t>Would I trust management with my capital?</t>
  </si>
  <si>
    <t>Yes, with some reservations. Based on CDSL's FY26 annual-report disclosures and corporate-governance filings, I would generally trust management with capital. The company has strong regulatory oversight, established governance committees, a formal related-party transaction policy, a dividend distribution policy and a risk-management framework. CDSL's FY26 corporate-governance disclosures also show significant representation from Public Interest Directors across the Audit and Risk Management Committees.</t>
  </si>
  <si>
    <t>The strongest positive is capital allocation discipline. CDSL continues to generate substantial cash, maintains a low-debt balance sheet and returns capital through dividends, while also investing in technology and adjacent businesses. Management has recommended a ₹12.75 per share final dividend for FY26, following ₹12.50 per share for FY25.</t>
  </si>
  <si>
    <t>Particular</t>
  </si>
  <si>
    <t>However, I would not give management a completely unqualified score. The increasing technology-related expenditure, depreciation and expansion into adjacent businesses need to generate sufficient incremental returns. This is particularly important because margins have been declining despite continued revenue growth.</t>
  </si>
  <si>
    <t>Current share price</t>
  </si>
  <si>
    <t>₹1,414.70</t>
  </si>
  <si>
    <t>As of 30/08/26</t>
  </si>
  <si>
    <t>Number of shares outstanding</t>
  </si>
  <si>
    <t>20.90 crore</t>
  </si>
  <si>
    <t>Investment Thesis</t>
  </si>
  <si>
    <t>Market capitalisation</t>
  </si>
  <si>
    <t>₹29,567 crore</t>
  </si>
  <si>
    <t>Economic Times</t>
  </si>
  <si>
    <t>Total debt</t>
  </si>
  <si>
    <t>₹2.2 crore</t>
  </si>
  <si>
    <t>The Bull Thesis</t>
  </si>
  <si>
    <t>Cash &amp; cash equivalents</t>
  </si>
  <si>
    <t>₹809.2 crore</t>
  </si>
  <si>
    <t>Stockanalysis.com</t>
  </si>
  <si>
    <t>Key Factor</t>
  </si>
  <si>
    <t>Bull Thesis</t>
  </si>
  <si>
    <t>1. Revenue growth</t>
  </si>
  <si>
    <t>CDSL can benefit from rising demat penetration, growing investor participation and increasing transaction/issuer activity.</t>
  </si>
  <si>
    <t>2. Profitability</t>
  </si>
  <si>
    <t>CDSL maintains very high EBITDA margins, although recent margin compression remains a concern.</t>
  </si>
  <si>
    <t>3. Market position</t>
  </si>
  <si>
    <t>Strong retail presence and a leading share of India's demat accounts provide a competitive advantage.</t>
  </si>
  <si>
    <t>Enterprise Value = Market Cap + Total Debt − Cash</t>
  </si>
  <si>
    <t>4. Capital efficiency</t>
  </si>
  <si>
    <t>Strong ROE and ROCE, combined with low debt and high cash generation, support efficient capital utilisation.</t>
  </si>
  <si>
    <t>EV = ₹28,760 crore (₹29,567 + ₹2.2 − ₹809.2)</t>
  </si>
  <si>
    <t>5. Valuation</t>
  </si>
  <si>
    <t>Key concern: the stock trades at a significant premium to peers, leaving limited margin of safety despite strong fundamentals.</t>
  </si>
  <si>
    <t>Net Debt = Total Debt − Cash</t>
  </si>
  <si>
    <t>Net Debt= −₹807 crore (₹2.2 crore − ₹809.2 crore)</t>
  </si>
  <si>
    <t>The Bear Thesis</t>
  </si>
  <si>
    <t>Particaulars (in Lakhs)</t>
  </si>
  <si>
    <t>Risk</t>
  </si>
  <si>
    <t>Probability</t>
  </si>
  <si>
    <t>Impact</t>
  </si>
  <si>
    <t>Mitigation Strategy</t>
  </si>
  <si>
    <t>Margin compression</t>
  </si>
  <si>
    <t>High</t>
  </si>
  <si>
    <t>Monitor employee, technology and depreciation costs; management must convert investments into revenue growth.</t>
  </si>
  <si>
    <t>Excessive valuation</t>
  </si>
  <si>
    <t>Maintain a margin of safety and avoid paying a high multiple unless earnings growth justifies it.</t>
  </si>
  <si>
    <t>Regulatory changes</t>
  </si>
  <si>
    <t>Medium</t>
  </si>
  <si>
    <t>Diversify revenue streams and closely monitor SEBI/regulatory policy changes.</t>
  </si>
  <si>
    <t>Depreciation</t>
  </si>
  <si>
    <t>Tax</t>
  </si>
  <si>
    <t>Maintain technology leadership, service quality and retail-market share against NSDL.</t>
  </si>
  <si>
    <t>https://finbox.com/NSEI:CDSL/explorer/capex/</t>
  </si>
  <si>
    <t>Growth slowdown</t>
  </si>
  <si>
    <t>Expand adjacent businesses such as unlisted securities, KRA and insurance repositories to diversify growth drivers.</t>
  </si>
  <si>
    <t xml:space="preserve"> Valuation</t>
  </si>
  <si>
    <t>Change in Working Capital</t>
  </si>
  <si>
    <t>−22,912.59</t>
  </si>
  <si>
    <t>Method 1, DCF</t>
  </si>
  <si>
    <t>−6,877.63</t>
  </si>
  <si>
    <t>Value</t>
  </si>
  <si>
    <t>Enterprise Value</t>
  </si>
  <si>
    <t>₹10,413.17 Cr</t>
  </si>
  <si>
    <t>Less: Debt</t>
  </si>
  <si>
    <t>₹2.20 Cr</t>
  </si>
  <si>
    <t>Add: Cash</t>
  </si>
  <si>
    <t>₹809.20 Cr</t>
  </si>
  <si>
    <t>Equity Value</t>
  </si>
  <si>
    <t>₹11,220.17 Cr</t>
  </si>
  <si>
    <t>Shares Outstanding</t>
  </si>
  <si>
    <t>20.90 Cr</t>
  </si>
  <si>
    <t>DCF Target Price</t>
  </si>
  <si>
    <t>₹536.85/share</t>
  </si>
  <si>
    <t>The DCF indicates substantial downside from the current market price of ₹1,414.70, suggesting that the stock is significantly overvalued under the model assumptions.</t>
  </si>
  <si>
    <t>Method 2, Relative Valuation</t>
  </si>
  <si>
    <t>Method</t>
  </si>
  <si>
    <t>Implied Price</t>
  </si>
  <si>
    <t>₹1,141.95</t>
  </si>
  <si>
    <t>EV/EBITDA</t>
  </si>
  <si>
    <t>₹945.89</t>
  </si>
  <si>
    <t>P/B</t>
  </si>
  <si>
    <t>₹243.48</t>
  </si>
  <si>
    <t>The comparable valuation gives a reasonable range of approximately ₹950–₹1,150/share.</t>
  </si>
  <si>
    <t>Compare Valuation</t>
  </si>
  <si>
    <t>₹536.85</t>
  </si>
  <si>
    <t>Blended Target</t>
  </si>
  <si>
    <t>₹821.52</t>
  </si>
  <si>
    <t>Weights of Valuation</t>
  </si>
  <si>
    <t>Weight</t>
  </si>
  <si>
    <t>Reason</t>
  </si>
  <si>
    <t>Best captures CDSL's long-term cash-generating ability and intrinsic value.</t>
  </si>
  <si>
    <t>Useful for comparing CDSL's operating valuation with peers and is relevant given its strong EBITDA generation.</t>
  </si>
  <si>
    <t>Appropriate for a highly profitable, asset-light company and reflects how the market values its earnings.</t>
  </si>
  <si>
    <t>Given CDSL's asset-light business model, P/B is less relevant than earnings and cash-flow-based methods, so it receives only a small weight.</t>
  </si>
  <si>
    <t>Total</t>
  </si>
  <si>
    <t>For DCF:</t>
  </si>
  <si>
    <t>WACC \ Terminal Growth</t>
  </si>
  <si>
    <t>₹529.17</t>
  </si>
  <si>
    <t>₹575.32</t>
  </si>
  <si>
    <t>₹633.01</t>
  </si>
  <si>
    <t>₹483.71</t>
  </si>
  <si>
    <t>₹520.79</t>
  </si>
  <si>
    <t>₹566.10</t>
  </si>
  <si>
    <t>₹445.84</t>
  </si>
  <si>
    <t>₹476.18</t>
  </si>
  <si>
    <t>₹512.59</t>
  </si>
  <si>
    <t>Forecast Revenue</t>
  </si>
  <si>
    <t>Our target price ranges from ₹445.84 to ₹633.01 depending on WACC and terminal growth assumptions.</t>
  </si>
  <si>
    <t>Historical growth</t>
  </si>
  <si>
    <t>This shows that valuation is not just one number. Changes in WACC and terminal growth can materially affect the DCF-derived target price, so the valuation should be viewed as a range rather than a single precise estimate.</t>
  </si>
  <si>
    <t>CAGR FY22-26</t>
  </si>
  <si>
    <t xml:space="preserve">Growth </t>
  </si>
  <si>
    <t>Revenue CAGR=(FY22 Revenue/FY26 Revenue​)^(1/4)−1</t>
  </si>
  <si>
    <t>FY24 Revenue/FY25 Revenue​ -1</t>
  </si>
  <si>
    <t>FY25 Revenue/FY26 Revenue​ -1</t>
  </si>
  <si>
    <t xml:space="preserve">Catalysts </t>
  </si>
  <si>
    <t>Agressive</t>
  </si>
  <si>
    <t>Taking into Consideration 13%</t>
  </si>
  <si>
    <t>Industry growth</t>
  </si>
  <si>
    <t>Catalyst</t>
  </si>
  <si>
    <t>Justification</t>
  </si>
  <si>
    <t>1. Earnings beat</t>
  </si>
  <si>
    <t>Taking into Consideration</t>
  </si>
  <si>
    <t>Better-than-expected revenue from demat account growth, higher transaction activity and issuer-related fees could result in earnings upgrades.</t>
  </si>
  <si>
    <t>No specific revenue/earnings guidance</t>
  </si>
  <si>
    <t>2. Margin stabilisation / expansion</t>
  </si>
  <si>
    <t>CDSL's margins have been declining. If employee, technology and depreciation costs are controlled while revenue continues to grow, EBITDA and PAT growth could accelerate.</t>
  </si>
  <si>
    <t>3. Continued demat account growth</t>
  </si>
  <si>
    <t>Rising financialisation and retail participation in Indian capital markets should increase the number of investors and securities accounts serviced by CDSL.</t>
  </si>
  <si>
    <t>Finding</t>
  </si>
  <si>
    <t>Impact on Forecast</t>
  </si>
  <si>
    <t>4. Growth in billed folios</t>
  </si>
  <si>
    <t>Billed folios increased 46.1% YoY to 33.26 crore in FY26. Continued growth would strengthen CDSL's recurring annual issuer-fee revenue base.</t>
  </si>
  <si>
    <t>Historical revenue CAGR</t>
  </si>
  <si>
    <t>5. Higher transaction volumes</t>
  </si>
  <si>
    <t>Greater retail participation and capital-market activity can increase transaction-related revenue and improve operating leverage.</t>
  </si>
  <si>
    <t>Positive</t>
  </si>
  <si>
    <t>Recent CDSL revenue growth (FY26)</t>
  </si>
  <si>
    <t>6. Expansion of unlisted securities business</t>
  </si>
  <si>
    <t>Baseline</t>
  </si>
  <si>
    <t>Mandatory dematerialisation of securities of large unlisted companies creates a new recurring revenue opportunity. CDSL admitted 7,079 unlisted companies in H1 FY26.</t>
  </si>
  <si>
    <t>Industry demat-account growth</t>
  </si>
  <si>
    <t>~17%</t>
  </si>
  <si>
    <t>Management guidance</t>
  </si>
  <si>
    <t>No specific revenue guidance</t>
  </si>
  <si>
    <t>Neutral</t>
  </si>
  <si>
    <t>7. Growth in Centrico Insurance Repository</t>
  </si>
  <si>
    <t>~80%+</t>
  </si>
  <si>
    <t>Insurance-policy digitisation provides a significant long-term opportunity. Centrico had 18+ lakh policies and 20+ lakh e-Insurance accounts, with two new insurance clients signed in H1 FY26.</t>
  </si>
  <si>
    <t>Strong / dominant</t>
  </si>
  <si>
    <t>Final Revenue Growth Assumption</t>
  </si>
  <si>
    <t>8. KRA / CVL growth</t>
  </si>
  <si>
    <t>Conservative Base Case</t>
  </si>
  <si>
    <t>Expansion in KYC registration and related digital services can diversify CDSL's revenue beyond its core depository business.</t>
  </si>
  <si>
    <t>Forecast EDITBA</t>
  </si>
  <si>
    <t>9. Market-share gains</t>
  </si>
  <si>
    <t>Further gains in demat accounts, particularly among retail investors and discount-broker customers, could strengthen CDSL's competitive position and revenue base.</t>
  </si>
  <si>
    <t>Revenue (₹ crore)</t>
  </si>
  <si>
    <t>10. Technology-led growth</t>
  </si>
  <si>
    <t>Greater adoption of CDSL's digital platforms, APIs, eDIS and other technology services can increase transaction efficiency and support new revenue opportunities. CDSL's technology infrastructure is already being used by major digital-first brokers.</t>
  </si>
  <si>
    <t>EBITDA (₹ crore)</t>
  </si>
  <si>
    <t>11. Regulatory tailwinds</t>
  </si>
  <si>
    <t>Regulations encouraging digitisation and dematerialisation of securities could create additional recurring revenue streams for CDSL.</t>
  </si>
  <si>
    <t>FY23: ~4% decline</t>
  </si>
  <si>
    <t>FY24: ~3% decline</t>
  </si>
  <si>
    <t>12. Operating leverage</t>
  </si>
  <si>
    <t>If revenue grows faster than employee, technology and other operating expenses, CDSL's high-margin business model could produce stronger incremental profits.</t>
  </si>
  <si>
    <t>FY25: ~3.5% decline</t>
  </si>
  <si>
    <t>FY26: ~6% decline</t>
  </si>
  <si>
    <t>13. Better capital allocation</t>
  </si>
  <si>
    <t>Continued dividends, investments in high-potential subsidiaries and disciplined deployment of</t>
  </si>
  <si>
    <t>Median decline=4%+3%+3.5%+6%​ =3.75%​</t>
  </si>
  <si>
    <t>Recalibrated: declining decrement (taper), so compression slows over time rather than persisting indefinitely</t>
  </si>
  <si>
    <t>Margin(t) = Margin(t−1) − d(t)</t>
  </si>
  <si>
    <t>d(t)=0.75t (per yr)</t>
  </si>
  <si>
    <t xml:space="preserve">EBIT Forecast </t>
  </si>
  <si>
    <t>Put this near the beginning of the report.</t>
  </si>
  <si>
    <t>D&amp;A (₹ crore)</t>
  </si>
  <si>
    <t>D&amp;A / Revenue</t>
  </si>
  <si>
    <t>Average D&amp;A %=2.44+3.52+3.31+4.78+5.64​ =3.94%​</t>
  </si>
  <si>
    <t>Investment Dashboard</t>
  </si>
  <si>
    <t>NOPAT Forecast</t>
  </si>
  <si>
    <t>For CDSL, the statutory income-tax rate shown in its annual report is 25.17%. The FY24 and FY25 tax reconciliations also use 25.17% as the enacted rate.</t>
  </si>
  <si>
    <t>FreeCash Flow</t>
  </si>
  <si>
    <t>Company Name</t>
  </si>
  <si>
    <t>Central Depository Services (India) Ltd. (CDSL)</t>
  </si>
  <si>
    <t>Recommendation</t>
  </si>
  <si>
    <t>SELL</t>
  </si>
  <si>
    <t>Capex (₹ lakh)</t>
  </si>
  <si>
    <t>Current Price</t>
  </si>
  <si>
    <t>Revenue (₹ lakh)</t>
  </si>
  <si>
    <t>Target Price</t>
  </si>
  <si>
    <t>₹875</t>
  </si>
  <si>
    <t>Capex / Revenue</t>
  </si>
  <si>
    <t>Avg Forecast Capex = 9.20% of Revenue, excluding the outliew of FY23</t>
  </si>
  <si>
    <t>Upside / (Downside)</t>
  </si>
  <si>
    <t>WACC</t>
  </si>
  <si>
    <t>Assumption</t>
  </si>
  <si>
    <t>Source / Rationale</t>
  </si>
  <si>
    <t>₹29,567 Cr</t>
  </si>
  <si>
    <t>Risk-free rate (Rf)</t>
  </si>
  <si>
    <t>India 10-Year G-Sec yield (6.94% 2036 benchmark), 31 Aug 2026</t>
  </si>
  <si>
    <t>Beta (β)</t>
  </si>
  <si>
    <t>Yahoo Finance, 5-year monthly regression</t>
  </si>
  <si>
    <t>Equity Risk Premium (ERP)</t>
  </si>
  <si>
    <t>Damodaran, India country ERP, July 2026 update</t>
  </si>
  <si>
    <t>Cost of Equity (Ke)</t>
  </si>
  <si>
    <t>Peer Metrics</t>
  </si>
  <si>
    <t>≈9.76%</t>
  </si>
  <si>
    <t>Ke = Rf + β × ERP = 6.91% + (0.39 × 7.31%)</t>
  </si>
  <si>
    <t>D≈₹2.2 crore</t>
  </si>
  <si>
    <t>E≈₹29,567 crore</t>
  </si>
  <si>
    <t>D/V≈0.01%</t>
  </si>
  <si>
    <t>Because CDSL is essentially debt-free</t>
  </si>
  <si>
    <t>E/V≈99.99%</t>
  </si>
  <si>
    <t>WACC=(E/V×Ke​)+(D/V×Kd​×(1−T))</t>
  </si>
  <si>
    <t xml:space="preserve">Thus Taking </t>
  </si>
  <si>
    <t>WACC≈Ke</t>
  </si>
  <si>
    <t>WACC≈9.76%​</t>
  </si>
  <si>
    <t>Taking g=5%</t>
  </si>
  <si>
    <t>Reasons</t>
  </si>
  <si>
    <t>41.67×</t>
  </si>
  <si>
    <t>g must always be below both Rf (6.91%) and WACC, otherwise the formula turns unstable or produces an implausible valuation.</t>
  </si>
  <si>
    <t>24.38×</t>
  </si>
  <si>
    <t>Current nominal GDP growth (~9–10%) is too high to hold in perpetuity, it reflects India's current high-growth phase, not the steady state.</t>
  </si>
  <si>
    <t>A conservative, widely-used convention is to converge g toward inflation plus a modest real growth cushion (1–1.5%) once a company matures, giving ~5.0–5.5%.</t>
  </si>
  <si>
    <t>CAMS</t>
  </si>
  <si>
    <t>CDSL is a quasi-monopoly (duopoly with NSDL) with strong secular tailwinds (demat penetration, capital market deepening), but terminal-year growth should still be capped near the economy-wide ceiling, not the firm's current high growth rate.</t>
  </si>
  <si>
    <t>32.61×</t>
  </si>
  <si>
    <t>23.35×</t>
  </si>
  <si>
    <t>KFin Technologies</t>
  </si>
  <si>
    <t>44.00×</t>
  </si>
  <si>
    <t>29.59×</t>
  </si>
  <si>
    <t>eMudhra</t>
  </si>
  <si>
    <t>28.22×</t>
  </si>
  <si>
    <t>18.70×</t>
  </si>
  <si>
    <t>BSE</t>
  </si>
  <si>
    <t>43.84×</t>
  </si>
  <si>
    <t>25.04×</t>
  </si>
  <si>
    <t>Peer Median</t>
  </si>
  <si>
    <t>CDSL vs Peer Median</t>
  </si>
  <si>
    <t>Company (CDSL)</t>
  </si>
  <si>
    <t>Forecast Revenue = Previous Year Revenue × (1 + Growth Rate)</t>
  </si>
  <si>
    <t>Forecast Year</t>
  </si>
  <si>
    <t>63.15×</t>
  </si>
  <si>
    <t>43.72×</t>
  </si>
  <si>
    <t>Increases by 13%</t>
  </si>
  <si>
    <t>Cases</t>
  </si>
  <si>
    <t>Bull Case</t>
  </si>
  <si>
    <t>₹1,150</t>
  </si>
  <si>
    <t>Forecast Revenue (₹ crore)</t>
  </si>
  <si>
    <t>Base Case</t>
  </si>
  <si>
    <t>₹822</t>
  </si>
  <si>
    <t>Declining by 3.75-d(t), where d(t)=0.75t (per yr)</t>
  </si>
  <si>
    <t>Bear Case</t>
  </si>
  <si>
    <t>₹536</t>
  </si>
  <si>
    <t>Forecast EBITDA (₹ crore)</t>
  </si>
  <si>
    <t>D&amp;A % of Revenue</t>
  </si>
  <si>
    <t>EBIT (₹ crore)</t>
  </si>
  <si>
    <t>EBIT=EBITDA−D&amp;A</t>
  </si>
  <si>
    <t>Particulars (₹ crore)</t>
  </si>
  <si>
    <t>Tax Rate</t>
  </si>
  <si>
    <t>Always 25.17%</t>
  </si>
  <si>
    <t>Tax on EBIT</t>
  </si>
  <si>
    <t>NOPAT=EBIT×(1−Tax Rate)</t>
  </si>
  <si>
    <t>Tax @ 25.17%</t>
  </si>
  <si>
    <t>(+) D&amp;A</t>
  </si>
  <si>
    <t>(−) Capex @ 9.20%</t>
  </si>
  <si>
    <t>Increases by 9.20%</t>
  </si>
  <si>
    <t>(−) Δ Working Capital</t>
  </si>
  <si>
    <t>DIscounted FCFF</t>
  </si>
  <si>
    <t>PV=FCFF/(1+WACC)^n</t>
  </si>
  <si>
    <t>FCFF (₹ crore)</t>
  </si>
  <si>
    <t>Discount Period (n)</t>
  </si>
  <si>
    <t>n</t>
  </si>
  <si>
    <t>Discount Factor</t>
  </si>
  <si>
    <t>Discount Factor=1/(1+WACC)^n</t>
  </si>
  <si>
    <t>PV of FCFF (₹ crore)</t>
  </si>
  <si>
    <t>EV=PV(Forecast FCFF)+PV(Terminal Value)</t>
  </si>
  <si>
    <t>Sensitivity Analysis</t>
  </si>
  <si>
    <t>TV Termnal Value</t>
  </si>
  <si>
    <t xml:space="preserve"> Gordon Growth Model</t>
  </si>
  <si>
    <t>WACC ↓ / Terminal Growth →</t>
  </si>
  <si>
    <t>Terminal Value Calculation</t>
  </si>
  <si>
    <t>FCFF₆ = FY31 FCFF × (1 + g)</t>
  </si>
  <si>
    <t>₹643.34 crore</t>
  </si>
  <si>
    <t>Terminal Value = FCFF₆ / (WACC − g)</t>
  </si>
  <si>
    <t>₹13,515.55 crore</t>
  </si>
  <si>
    <t>PV of Terminal Value</t>
  </si>
  <si>
    <t>₹8,483.77 crore</t>
  </si>
  <si>
    <t>₹379.10</t>
  </si>
  <si>
    <t>₹398.17</t>
  </si>
  <si>
    <t>Component</t>
  </si>
  <si>
    <t>₹420.17</t>
  </si>
  <si>
    <t>PV of FY27–FY31 FCFF</t>
  </si>
  <si>
    <t>₹357.10</t>
  </si>
  <si>
    <t>₹373.48</t>
  </si>
  <si>
    <t>₹392.21</t>
  </si>
  <si>
    <t>Terminal Value</t>
  </si>
  <si>
    <t>₹337.69</t>
  </si>
  <si>
    <t>₹351.89</t>
  </si>
  <si>
    <t>₹367.98</t>
  </si>
  <si>
    <t>₹320.45</t>
  </si>
  <si>
    <t>Enterprise Value = PV of all forecast FCFF + PV of Terminal Value</t>
  </si>
  <si>
    <t>₹332.85</t>
  </si>
  <si>
    <t>₹346.80</t>
  </si>
  <si>
    <t>enterprise-to-equity bridge</t>
  </si>
  <si>
    <t>₹305.04</t>
  </si>
  <si>
    <t>− Debt</t>
  </si>
  <si>
    <t>−2.20</t>
  </si>
  <si>
    <t>₹315.94</t>
  </si>
  <si>
    <t>₹328.12</t>
  </si>
  <si>
    <t>Cash</t>
  </si>
  <si>
    <t>The investment thesis does not become attractive within this sensitivity range. Even under the most favourable assumption shown — WACC of 10.00% and terminal growth of 3.50% — the implied value is only about ₹420/share, substantially below the current price of ₹1,414.70.</t>
  </si>
  <si>
    <t>Equity Value=EV−Debt+Cash</t>
  </si>
  <si>
    <t>Diluted shares outstanding = 20.90 crore</t>
  </si>
  <si>
    <t>Equity Value ÷ Diluted Shares Outstanding = Implied Value Per Share</t>
  </si>
  <si>
    <t>mplied Value Per Share=Diluted Shares OutstandingEquity Value​ =11220.74​/20.90 = 536.85 Rs.</t>
  </si>
  <si>
    <t>Compansion with Current Price</t>
  </si>
  <si>
    <t>Current Share Price</t>
  </si>
  <si>
    <t>DCF Implied Price</t>
  </si>
  <si>
    <t>Upside/(Downside)</t>
  </si>
  <si>
    <t>−62.05%</t>
  </si>
  <si>
    <t>Upside = (DCF Value / Current Price) − 1</t>
  </si>
  <si>
    <t>Under the assumptions used in this DCF, CDSL's current market price is substantially above its estimated intrinsic value, implying that the stock is overvalued by approximately 62.05%.</t>
  </si>
  <si>
    <t>Why do these values differ?</t>
  </si>
  <si>
    <t>Peer Comparison</t>
  </si>
  <si>
    <t>The three valuation methods value CDSL using different assumptions and perspectives:</t>
  </si>
  <si>
    <t>DCF (₹536.85): Values CDSL based on the present value of its future FCFF. It is highly sensitive to assumptions such as revenue growth, EBITDA margins, capex, WACC and terminal growth. The revised DCF incorporates a tapering decline in EBITDA margins and a normalised capex assumption, resulting in a higher valuation than the earlier DCF estimate.</t>
  </si>
  <si>
    <t>P/E (₹1,141.95): Values CDSL based on its earnings, using NSDL's P/E multiple. It reflects the market's willingness to pay for profitable businesses but does not explicitly account for future cash flows, capital expenditure or changes in profitability.</t>
  </si>
  <si>
    <t>CDSL (Target)</t>
  </si>
  <si>
    <t>EV/EBITDA (₹945.89): Values CDSL based on its operating earnings, using NSDL's EV/EBITDA multiple. It is less affected by depreciation and capital structure than P/E, but assumes that CDSL should trade at a valuation multiple similar to its only direct comparable, NSDL.</t>
  </si>
  <si>
    <t>NSDL (Peer)</t>
  </si>
  <si>
    <t>Current Market Price (₹1,414.70): This represents the price investors are currently willing to pay for CDSL and incorporates market expectations regarding its future growth, competitive position, market share and profitability.</t>
  </si>
  <si>
    <t>Share price</t>
  </si>
  <si>
    <t>Which method do I trust most for CDSL?</t>
  </si>
  <si>
    <t>₹813.70</t>
  </si>
  <si>
    <t>I would place the greatest weight on the DCF, but with caution.</t>
  </si>
  <si>
    <t>Shares outstanding</t>
  </si>
  <si>
    <t>CDSL is a highly profitable, asset-light business with negligible debt, making an FCFF-based DCF conceptually appropriate. It directly estimates the value of the cash flows the business can generate rather than relying solely on the market valuation of its only direct peer, NSDL.</t>
  </si>
  <si>
    <t>20.00 crore</t>
  </si>
  <si>
    <t>Market cap</t>
  </si>
  <si>
    <t>However, the ₹536.85 DCF value should not be treated as a precise fair value. The valuation remains sensitive to assumptions about future EBITDA margins, capex, WACC and terminal growth. In particular, the model assumes that EBITDA margin declines from 68.49% in FY26 to 57.24% by FY31, although the rate of decline tapers over time.</t>
  </si>
  <si>
    <t>₹16,274 crore</t>
  </si>
  <si>
    <t>The P/E and EV/EBITDA valuations are useful cross-checks, but because the analysis uses only NSDL as the comparable, the peer-based valuation is less statistically robust.</t>
  </si>
  <si>
    <t>Overall conclusion: The current market price of ₹1,414.70 is above the DCF valuation of ₹536.85 and the comparable-based valuations of ₹1,141.95 (P/E) and ₹945.89 (EV/EBITDA). This suggests that the market is pricing in stronger future growth, profitability or competitive advantages than assumed in the DCF model.</t>
  </si>
  <si>
    <t xml:space="preserve"> Final Valuation Range</t>
  </si>
  <si>
    <t>₹2.20 crore</t>
  </si>
  <si>
    <t>₹16.60 crore</t>
  </si>
  <si>
    <t>₹809.20 crore</t>
  </si>
  <si>
    <t>₹1,646 crore</t>
  </si>
  <si>
    <t>Enterprise value</t>
  </si>
  <si>
    <t>₹28,760 crore</t>
  </si>
  <si>
    <t>₹14,645 crore</t>
  </si>
  <si>
    <t>Revenue (FY26)</t>
  </si>
  <si>
    <t>₹960.5 crore</t>
  </si>
  <si>
    <t>₹704.7 crore</t>
  </si>
  <si>
    <t>Current Market Price</t>
  </si>
  <si>
    <t>EBITDA (FY26)</t>
  </si>
  <si>
    <t>₹657.9 crore</t>
  </si>
  <si>
    <t>₹508.0 crore</t>
  </si>
  <si>
    <t>Net profit (FY26)</t>
  </si>
  <si>
    <t>₹468.2 crore</t>
  </si>
  <si>
    <t>₹319.4 crore</t>
  </si>
  <si>
    <t>EPS (FY26)</t>
  </si>
  <si>
    <t>₹18.99</t>
  </si>
  <si>
    <t>Book Value BVPS</t>
  </si>
  <si>
    <t>₹93.80</t>
  </si>
  <si>
    <t>Valuation</t>
  </si>
  <si>
    <t>₹118.50</t>
  </si>
  <si>
    <t>Range</t>
  </si>
  <si>
    <t>₹500–₹550</t>
  </si>
  <si>
    <t>Comps (P/E, EV/EBITDA &amp; P/B)</t>
  </si>
  <si>
    <t>₹950–₹1,150</t>
  </si>
  <si>
    <t>Reasonable Valuation Range</t>
  </si>
  <si>
    <t>₹950–₹1,100</t>
  </si>
  <si>
    <t>EV/Sales</t>
  </si>
  <si>
    <t xml:space="preserve">P/B </t>
  </si>
  <si>
    <t>Target — CDSL</t>
  </si>
  <si>
    <t>29.94×</t>
  </si>
  <si>
    <t>14.83×</t>
  </si>
  <si>
    <t>Peer — NSDL</t>
  </si>
  <si>
    <t>50.98×</t>
  </si>
  <si>
    <t>28.83×</t>
  </si>
  <si>
    <t>20.78×</t>
  </si>
  <si>
    <t>6.9×</t>
  </si>
  <si>
    <t>Formulae</t>
  </si>
  <si>
    <t>P/E=Market Cap​/Net Profit</t>
  </si>
  <si>
    <t>EV/EBITDA=Enterprise Value​/EBITDA</t>
  </si>
  <si>
    <t>EV/Sales=Enterprise Value​/Revenue</t>
  </si>
  <si>
    <t>P/B=Current stock price/BVPS</t>
  </si>
  <si>
    <t>The Median</t>
  </si>
  <si>
    <t>Median P/E</t>
  </si>
  <si>
    <t>Median EV/EBITDA</t>
  </si>
  <si>
    <t>Median P/B</t>
  </si>
  <si>
    <t>10.87×</t>
  </si>
  <si>
    <t>Implied Share Price using median P/E</t>
  </si>
  <si>
    <t>Target EPS (CDSL FY26)</t>
  </si>
  <si>
    <t>Peer Median P/E</t>
  </si>
  <si>
    <t>Implied Share Price</t>
  </si>
  <si>
    <t>Implied Share Price using median EBITDA</t>
  </si>
  <si>
    <t>Target EBITDA (CDSL FY26)</t>
  </si>
  <si>
    <t>₹657.90 crore</t>
  </si>
  <si>
    <t>Peer Median EV/EBITDA</t>
  </si>
  <si>
    <t>Implied Enterprise Value</t>
  </si>
  <si>
    <t>₹18,962.16 crore</t>
  </si>
  <si>
    <t>Less: Net Debt</t>
  </si>
  <si>
    <t>−₹807.00 crore</t>
  </si>
  <si>
    <t>Implied Equity Value</t>
  </si>
  <si>
    <t>₹19,769.16 crore</t>
  </si>
  <si>
    <t>EV − Net Debt = Equity Value</t>
  </si>
  <si>
    <t>Diluted Shares Outstanding</t>
  </si>
  <si>
    <t>Equity Value ÷ Shares = Implied Share Price</t>
  </si>
  <si>
    <t>Implied Share Price using median P/B</t>
  </si>
  <si>
    <t>Peer Median P/B</t>
  </si>
  <si>
    <t>Year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</si>
</sst>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yyyy"/>
    <numFmt numFmtId="165" formatCode="mmmm yyyy"/>
  </numFmts>
  <fonts count="25">
    <font>
      <sz val="10.0"/>
      <color rgb="FF000000"/>
      <name val="Arial"/>
      <scheme val="minor"/>
    </font>
    <font>
      <b/>
      <sz val="10.0"/>
      <color theme="1"/>
      <name val="Arial"/>
    </font>
    <font>
      <sz val="10.0"/>
      <color theme="1"/>
      <name val="Arial"/>
    </font>
    <font/>
    <font>
      <u/>
      <sz val="10.0"/>
      <color rgb="FF0000FF"/>
      <name val="Arial"/>
    </font>
    <font>
      <sz val="10.0"/>
      <color rgb="FF000000"/>
      <name val="Arial"/>
    </font>
    <font>
      <u/>
      <sz val="10.0"/>
      <color rgb="FF0000FF"/>
      <name val="Arial"/>
    </font>
    <font>
      <b/>
      <sz val="10.0"/>
      <color rgb="FF000000"/>
      <name val="Arial"/>
    </font>
    <font>
      <color theme="1"/>
      <name val="Arial"/>
    </font>
    <font>
      <sz val="12.0"/>
      <color theme="1"/>
      <name val="Calibri"/>
    </font>
    <font>
      <b/>
      <sz val="12.0"/>
      <color theme="1"/>
      <name val="Calibri"/>
    </font>
    <font>
      <b/>
      <color theme="1"/>
      <name val="Arial"/>
    </font>
    <font>
      <u/>
      <sz val="12.0"/>
      <color rgb="FF0000FF"/>
      <name val="Calibri"/>
    </font>
    <font>
      <color theme="1"/>
      <name val="Arial"/>
      <scheme val="minor"/>
    </font>
    <font>
      <u/>
      <sz val="10.0"/>
      <color rgb="FF0000FF"/>
      <name val="Arial"/>
    </font>
    <font>
      <u/>
      <sz val="10.0"/>
      <color rgb="FF0000FF"/>
      <name val="Arial"/>
    </font>
    <font>
      <b/>
      <color theme="1"/>
      <name val="Arial"/>
      <scheme val="minor"/>
    </font>
    <font>
      <u/>
      <sz val="10.0"/>
      <color rgb="FF0000FF"/>
      <name val="Arial"/>
    </font>
    <font>
      <b/>
      <sz val="12.0"/>
      <color rgb="FF000000"/>
      <name val="Calibri"/>
    </font>
    <font>
      <sz val="12.0"/>
      <color rgb="FF000000"/>
      <name val="Calibri"/>
    </font>
    <font>
      <sz val="10.0"/>
      <color theme="1"/>
      <name val="Arial"/>
      <scheme val="minor"/>
    </font>
    <font>
      <u/>
      <sz val="10.0"/>
      <color rgb="FF0000FF"/>
    </font>
    <font>
      <u/>
      <color rgb="FF0000FF"/>
    </font>
    <font>
      <u/>
      <sz val="10.0"/>
      <color rgb="FF0000FF"/>
      <name val="Arial"/>
    </font>
    <font>
      <sz val="10.0"/>
      <color theme="1"/>
      <name val="&quot;Google Sans&quot;"/>
    </font>
  </fonts>
  <fills count="8">
    <fill>
      <patternFill patternType="none"/>
    </fill>
    <fill>
      <patternFill patternType="lightGray"/>
    </fill>
    <fill>
      <patternFill patternType="solid">
        <fgColor rgb="FF93C47D"/>
        <bgColor rgb="FF93C47D"/>
      </patternFill>
    </fill>
    <fill>
      <patternFill patternType="solid">
        <fgColor rgb="FFFFD966"/>
        <bgColor rgb="FFFFD966"/>
      </patternFill>
    </fill>
    <fill>
      <patternFill patternType="solid">
        <fgColor rgb="FFD9EAD3"/>
        <bgColor rgb="FFD9EAD3"/>
      </patternFill>
    </fill>
    <fill>
      <patternFill patternType="solid">
        <fgColor rgb="FFFFF2CC"/>
        <bgColor rgb="FFFFF2CC"/>
      </patternFill>
    </fill>
    <fill>
      <patternFill patternType="solid">
        <fgColor rgb="FFB6D7A8"/>
        <bgColor rgb="FFB6D7A8"/>
      </patternFill>
    </fill>
    <fill>
      <patternFill patternType="solid">
        <fgColor rgb="FFFF0000"/>
        <bgColor rgb="FFFF0000"/>
      </patternFill>
    </fill>
  </fills>
  <borders count="1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C4C7C5"/>
      </left>
      <right style="thin">
        <color rgb="FFC4C7C5"/>
      </right>
      <top style="thin">
        <color rgb="FFC4C7C5"/>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1" numFmtId="0" xfId="0" applyAlignment="1" applyFont="1">
      <alignment horizontal="center" readingOrder="0"/>
    </xf>
    <xf borderId="0" fillId="0" fontId="2" numFmtId="0" xfId="0" applyAlignment="1" applyFont="1">
      <alignment horizontal="center"/>
    </xf>
    <xf borderId="1" fillId="2" fontId="1" numFmtId="0" xfId="0" applyAlignment="1" applyBorder="1" applyFill="1" applyFont="1">
      <alignment horizontal="center" readingOrder="0"/>
    </xf>
    <xf borderId="2" fillId="0" fontId="3" numFmtId="0" xfId="0" applyBorder="1" applyFont="1"/>
    <xf borderId="3" fillId="0" fontId="2" numFmtId="0" xfId="0" applyAlignment="1" applyBorder="1" applyFont="1">
      <alignment horizontal="center" readingOrder="0"/>
    </xf>
    <xf borderId="3" fillId="0" fontId="4" numFmtId="0" xfId="0" applyAlignment="1" applyBorder="1" applyFont="1">
      <alignment horizontal="center" readingOrder="0"/>
    </xf>
    <xf borderId="1" fillId="0" fontId="2" numFmtId="0" xfId="0" applyAlignment="1" applyBorder="1" applyFont="1">
      <alignment horizontal="left" readingOrder="0"/>
    </xf>
    <xf borderId="0" fillId="0" fontId="5" numFmtId="0" xfId="0" applyAlignment="1" applyFont="1">
      <alignment horizontal="center" shrinkToFit="0" vertical="bottom" wrapText="0"/>
    </xf>
    <xf borderId="0" fillId="2" fontId="2" numFmtId="0" xfId="0" applyAlignment="1" applyFill="1" applyFont="1">
      <alignment horizontal="center" readingOrder="0"/>
    </xf>
    <xf borderId="0" fillId="2" fontId="2" numFmtId="0" xfId="0" applyAlignment="1" applyFill="1" applyFont="1">
      <alignment vertical="bottom"/>
    </xf>
    <xf borderId="0" fillId="0" fontId="2" numFmtId="0" xfId="0" applyAlignment="1" applyFont="1">
      <alignment vertical="bottom"/>
    </xf>
    <xf borderId="0" fillId="0" fontId="2" numFmtId="0" xfId="0" applyFont="1"/>
    <xf borderId="3" fillId="0" fontId="2" numFmtId="0" xfId="0" applyAlignment="1" applyBorder="1" applyFont="1">
      <alignment horizontal="center" vertical="bottom"/>
    </xf>
    <xf borderId="0" fillId="0" fontId="6" numFmtId="0" xfId="0" applyAlignment="1" applyFont="1">
      <alignment readingOrder="0"/>
    </xf>
    <xf borderId="4" fillId="0" fontId="3" numFmtId="0" xfId="0" applyBorder="1" applyFont="1"/>
    <xf borderId="1" fillId="0" fontId="2" numFmtId="0" xfId="0" applyAlignment="1" applyBorder="1" applyFont="1">
      <alignment horizontal="center" vertical="bottom"/>
    </xf>
    <xf borderId="3" fillId="0" fontId="2" numFmtId="0" xfId="0" applyAlignment="1" applyBorder="1" applyFont="1">
      <alignment horizontal="center" readingOrder="0" vertical="bottom"/>
    </xf>
    <xf borderId="0" fillId="0" fontId="2" numFmtId="0" xfId="0" applyAlignment="1" applyFont="1">
      <alignment horizontal="center" vertical="bottom"/>
    </xf>
    <xf borderId="3" fillId="3" fontId="7" numFmtId="0" xfId="0" applyAlignment="1" applyBorder="1" applyFill="1" applyFont="1">
      <alignment horizontal="center" readingOrder="0" vertical="top"/>
    </xf>
    <xf borderId="0" fillId="0" fontId="2" numFmtId="0" xfId="0" applyAlignment="1" applyFont="1">
      <alignment horizontal="center" readingOrder="0"/>
    </xf>
    <xf borderId="3" fillId="0" fontId="5" numFmtId="0" xfId="0" applyAlignment="1" applyBorder="1" applyFont="1">
      <alignment horizontal="center" readingOrder="0" vertical="top"/>
    </xf>
    <xf borderId="1" fillId="0" fontId="2" numFmtId="0" xfId="0" applyAlignment="1" applyBorder="1" applyFont="1">
      <alignment horizontal="center" vertical="center"/>
    </xf>
    <xf borderId="0" fillId="0" fontId="2" numFmtId="0" xfId="0" applyAlignment="1" applyFont="1">
      <alignment horizontal="center" vertical="center"/>
    </xf>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0" fillId="0" fontId="8" numFmtId="0" xfId="0" applyFont="1"/>
    <xf borderId="3" fillId="2" fontId="2" numFmtId="0" xfId="0" applyAlignment="1" applyBorder="1" applyFill="1" applyFont="1">
      <alignment horizontal="center" readingOrder="0"/>
    </xf>
    <xf borderId="8" fillId="2" fontId="1" numFmtId="0" xfId="0" applyAlignment="1" applyBorder="1" applyFill="1" applyFont="1">
      <alignment horizontal="center" readingOrder="0" vertical="center"/>
    </xf>
    <xf borderId="9" fillId="0" fontId="3" numFmtId="0" xfId="0" applyBorder="1" applyFont="1"/>
    <xf borderId="10" fillId="0" fontId="3" numFmtId="0" xfId="0" applyBorder="1" applyFont="1"/>
    <xf borderId="3" fillId="0" fontId="2" numFmtId="0" xfId="0" applyAlignment="1" applyBorder="1" applyFont="1">
      <alignment readingOrder="0"/>
    </xf>
    <xf borderId="3" fillId="0" fontId="2" numFmtId="0" xfId="0" applyAlignment="1" applyBorder="1" applyFont="1">
      <alignment horizontal="left" readingOrder="0" vertical="center"/>
    </xf>
    <xf borderId="3" fillId="0" fontId="2" numFmtId="0" xfId="0" applyAlignment="1" applyBorder="1" applyFont="1">
      <alignment horizontal="center" readingOrder="0" vertical="center"/>
    </xf>
    <xf borderId="0" fillId="0" fontId="9" numFmtId="0" xfId="0" applyAlignment="1" applyFont="1">
      <alignment horizontal="center" readingOrder="0" vertical="center"/>
    </xf>
    <xf borderId="0" fillId="0" fontId="9" numFmtId="0" xfId="0" applyFont="1"/>
    <xf borderId="0" fillId="0" fontId="10" numFmtId="0" xfId="0" applyAlignment="1" applyFont="1">
      <alignment horizontal="center" readingOrder="0" vertical="center"/>
    </xf>
    <xf borderId="11" fillId="2" fontId="10" numFmtId="0" xfId="0" applyAlignment="1" applyBorder="1" applyFill="1" applyFont="1">
      <alignment horizontal="center" readingOrder="0" vertical="center"/>
    </xf>
    <xf borderId="5" fillId="0" fontId="9" numFmtId="0" xfId="0" applyAlignment="1" applyBorder="1" applyFont="1">
      <alignment horizontal="center" readingOrder="0" vertical="center"/>
    </xf>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0" fillId="0" fontId="8" numFmtId="0" xfId="0" applyAlignment="1" applyFont="1">
      <alignment vertical="bottom"/>
    </xf>
    <xf borderId="11" fillId="0" fontId="2" numFmtId="0" xfId="0" applyAlignment="1" applyBorder="1" applyFont="1">
      <alignment horizontal="left" readingOrder="0" vertical="center"/>
    </xf>
    <xf borderId="11" fillId="0" fontId="2" numFmtId="0" xfId="0" applyAlignment="1" applyBorder="1" applyFont="1">
      <alignment horizontal="center" readingOrder="0" vertical="center"/>
    </xf>
    <xf borderId="0" fillId="0" fontId="10" numFmtId="0" xfId="0" applyAlignment="1" applyFont="1">
      <alignment horizontal="center" readingOrder="0" vertical="bottom"/>
    </xf>
    <xf borderId="0" fillId="0" fontId="10" numFmtId="164" xfId="0" applyAlignment="1" applyFont="1" applyNumberFormat="1">
      <alignment horizontal="center" vertical="bottom"/>
    </xf>
    <xf borderId="3" fillId="2" fontId="10" numFmtId="0" xfId="0" applyAlignment="1" applyBorder="1" applyFill="1" applyFont="1">
      <alignment horizontal="center" readingOrder="0" vertical="bottom"/>
    </xf>
    <xf borderId="0" fillId="0" fontId="11" numFmtId="0" xfId="0" applyAlignment="1" applyFont="1">
      <alignment vertical="bottom"/>
    </xf>
    <xf borderId="3" fillId="2" fontId="7" numFmtId="0" xfId="0" applyAlignment="1" applyBorder="1" applyFill="1" applyFont="1">
      <alignment horizontal="center" readingOrder="0" vertical="top"/>
    </xf>
    <xf borderId="3" fillId="4" fontId="10" numFmtId="0" xfId="0" applyAlignment="1" applyBorder="1" applyFill="1" applyFont="1">
      <alignment horizontal="center" readingOrder="0" shrinkToFit="0" vertical="bottom" wrapText="0"/>
    </xf>
    <xf borderId="0" fillId="0" fontId="10" numFmtId="0" xfId="0" applyAlignment="1" applyFont="1">
      <alignment horizontal="center" readingOrder="0" vertical="bottom"/>
    </xf>
    <xf borderId="3" fillId="0" fontId="9" numFmtId="0" xfId="0" applyAlignment="1" applyBorder="1" applyFont="1">
      <alignment horizontal="center" readingOrder="0" vertical="bottom"/>
    </xf>
    <xf borderId="3" fillId="0" fontId="5" numFmtId="0" xfId="0" applyAlignment="1" applyBorder="1" applyFont="1">
      <alignment horizontal="left" readingOrder="0" vertical="top"/>
    </xf>
    <xf borderId="1" fillId="0" fontId="12" numFmtId="0" xfId="0" applyAlignment="1" applyBorder="1" applyFont="1">
      <alignment horizontal="center" readingOrder="0" vertical="bottom"/>
    </xf>
    <xf borderId="3" fillId="0" fontId="9" numFmtId="0" xfId="0" applyAlignment="1" applyBorder="1" applyFont="1">
      <alignment horizontal="center" vertical="bottom"/>
    </xf>
    <xf borderId="1" fillId="0" fontId="2" numFmtId="0" xfId="0" applyAlignment="1" applyBorder="1" applyFont="1">
      <alignment readingOrder="0"/>
    </xf>
    <xf borderId="3" fillId="0" fontId="2" numFmtId="165" xfId="0" applyAlignment="1" applyBorder="1" applyFont="1" applyNumberFormat="1">
      <alignment horizontal="center" readingOrder="0"/>
    </xf>
    <xf borderId="0" fillId="3" fontId="2" numFmtId="0" xfId="0" applyAlignment="1" applyFill="1" applyFont="1">
      <alignment readingOrder="0"/>
    </xf>
    <xf borderId="0" fillId="0" fontId="13" numFmtId="0" xfId="0" applyAlignment="1" applyFont="1">
      <alignment horizontal="center"/>
    </xf>
    <xf borderId="0" fillId="2" fontId="7" numFmtId="0" xfId="0" applyAlignment="1" applyFill="1" applyFont="1">
      <alignment horizontal="center" readingOrder="0" vertical="top"/>
    </xf>
    <xf borderId="3" fillId="2" fontId="2" numFmtId="0" xfId="0" applyAlignment="1" applyBorder="1" applyFill="1" applyFont="1">
      <alignment horizontal="left" readingOrder="0"/>
    </xf>
    <xf borderId="3" fillId="2" fontId="2" numFmtId="0" xfId="0" applyAlignment="1" applyBorder="1" applyFill="1" applyFont="1">
      <alignment readingOrder="0"/>
    </xf>
    <xf borderId="3" fillId="0" fontId="2" numFmtId="0" xfId="0" applyAlignment="1" applyBorder="1" applyFont="1">
      <alignment horizontal="left" readingOrder="0"/>
    </xf>
    <xf borderId="1" fillId="0" fontId="9" numFmtId="0" xfId="0" applyAlignment="1" applyBorder="1" applyFont="1">
      <alignment horizontal="center" readingOrder="0" vertical="bottom"/>
    </xf>
    <xf borderId="3" fillId="0" fontId="14" numFmtId="0" xfId="0" applyAlignment="1" applyBorder="1" applyFont="1">
      <alignment readingOrder="0"/>
    </xf>
    <xf borderId="3" fillId="2" fontId="1" numFmtId="0" xfId="0" applyAlignment="1" applyBorder="1" applyFill="1" applyFont="1">
      <alignment horizontal="center" readingOrder="0"/>
    </xf>
    <xf borderId="1" fillId="2" fontId="10" numFmtId="0" xfId="0" applyAlignment="1" applyBorder="1" applyFill="1" applyFont="1">
      <alignment horizontal="center" readingOrder="0" vertical="bottom"/>
    </xf>
    <xf borderId="3" fillId="0" fontId="9" numFmtId="0" xfId="0" applyAlignment="1" applyBorder="1" applyFont="1">
      <alignment vertical="bottom"/>
    </xf>
    <xf borderId="1" fillId="0" fontId="9" numFmtId="0" xfId="0" applyAlignment="1" applyBorder="1" applyFont="1">
      <alignment readingOrder="0"/>
    </xf>
    <xf borderId="3" fillId="0" fontId="15" numFmtId="0" xfId="0" applyAlignment="1" applyBorder="1" applyFont="1">
      <alignment readingOrder="0"/>
    </xf>
    <xf borderId="3" fillId="0" fontId="9" numFmtId="0" xfId="0" applyAlignment="1" applyBorder="1" applyFont="1">
      <alignment readingOrder="0" vertical="bottom"/>
    </xf>
    <xf borderId="0" fillId="0" fontId="2" numFmtId="0" xfId="0" applyAlignment="1" applyFont="1">
      <alignment readingOrder="0" vertical="bottom"/>
    </xf>
    <xf borderId="3" fillId="0" fontId="9" numFmtId="0" xfId="0" applyAlignment="1" applyBorder="1" applyFont="1">
      <alignment horizontal="left" readingOrder="0" vertical="bottom"/>
    </xf>
    <xf borderId="0" fillId="3" fontId="2" numFmtId="0" xfId="0" applyAlignment="1" applyFill="1" applyFont="1">
      <alignment readingOrder="0" vertical="bottom"/>
    </xf>
    <xf borderId="3" fillId="2" fontId="16" numFmtId="0" xfId="0" applyAlignment="1" applyBorder="1" applyFill="1" applyFont="1">
      <alignment horizontal="center" readingOrder="0"/>
    </xf>
    <xf borderId="3" fillId="0" fontId="2" numFmtId="4" xfId="0" applyAlignment="1" applyBorder="1" applyFont="1" applyNumberFormat="1">
      <alignment horizontal="center" readingOrder="0"/>
    </xf>
    <xf borderId="3" fillId="0" fontId="13" numFmtId="0" xfId="0" applyBorder="1" applyFont="1"/>
    <xf borderId="3" fillId="0" fontId="2" numFmtId="10" xfId="0" applyAlignment="1" applyBorder="1" applyFont="1" applyNumberFormat="1">
      <alignment horizontal="center" readingOrder="0"/>
    </xf>
    <xf borderId="1" fillId="2" fontId="10" numFmtId="0" xfId="0" applyAlignment="1" applyBorder="1" applyFill="1" applyFont="1">
      <alignment horizontal="center" readingOrder="0" vertical="bottom"/>
    </xf>
    <xf borderId="3" fillId="0" fontId="13" numFmtId="0" xfId="0" applyAlignment="1" applyBorder="1" applyFont="1">
      <alignment readingOrder="0"/>
    </xf>
    <xf borderId="3" fillId="4" fontId="10" numFmtId="0" xfId="0" applyAlignment="1" applyBorder="1" applyFill="1" applyFont="1">
      <alignment horizontal="center" readingOrder="0" vertical="bottom"/>
    </xf>
    <xf borderId="0" fillId="0" fontId="1" numFmtId="0" xfId="0" applyAlignment="1" applyFont="1">
      <alignment horizontal="center"/>
    </xf>
    <xf borderId="3" fillId="0" fontId="9" numFmtId="0" xfId="0" applyAlignment="1" applyBorder="1" applyFont="1">
      <alignment horizontal="center" readingOrder="0"/>
    </xf>
    <xf borderId="3" fillId="0" fontId="9" numFmtId="10" xfId="0" applyAlignment="1" applyBorder="1" applyFont="1" applyNumberFormat="1">
      <alignment horizontal="center"/>
    </xf>
    <xf borderId="3" fillId="0" fontId="9" numFmtId="10" xfId="0" applyAlignment="1" applyBorder="1" applyFont="1" applyNumberFormat="1">
      <alignment horizontal="center" readingOrder="0"/>
    </xf>
    <xf borderId="0" fillId="0" fontId="2" numFmtId="0" xfId="0" applyAlignment="1" applyFont="1">
      <alignment horizontal="left" readingOrder="0" vertical="bottom"/>
    </xf>
    <xf borderId="3" fillId="0" fontId="9" numFmtId="4" xfId="0" applyAlignment="1" applyBorder="1" applyFont="1" applyNumberFormat="1">
      <alignment horizontal="center" readingOrder="0"/>
    </xf>
    <xf borderId="0" fillId="0" fontId="9" numFmtId="0" xfId="0" applyAlignment="1" applyFont="1">
      <alignment horizontal="center"/>
    </xf>
    <xf borderId="1" fillId="2" fontId="2" numFmtId="0" xfId="0" applyAlignment="1" applyBorder="1" applyFill="1" applyFont="1">
      <alignment horizontal="center" readingOrder="0"/>
    </xf>
    <xf borderId="1" fillId="0" fontId="2" numFmtId="0" xfId="0" applyAlignment="1" applyBorder="1" applyFont="1">
      <alignment horizontal="center" readingOrder="0"/>
    </xf>
    <xf borderId="3" fillId="4" fontId="10" numFmtId="0" xfId="0" applyAlignment="1" applyBorder="1" applyFill="1" applyFont="1">
      <alignment horizontal="center" readingOrder="0"/>
    </xf>
    <xf borderId="3" fillId="0" fontId="9" numFmtId="0" xfId="0" applyAlignment="1" applyBorder="1" applyFont="1">
      <alignment horizontal="center"/>
    </xf>
    <xf borderId="3" fillId="0" fontId="9" numFmtId="4" xfId="0" applyAlignment="1" applyBorder="1" applyFont="1" applyNumberFormat="1">
      <alignment horizontal="center"/>
    </xf>
    <xf borderId="3" fillId="0" fontId="9" numFmtId="0" xfId="0" applyAlignment="1" applyBorder="1" applyFont="1">
      <alignment readingOrder="0"/>
    </xf>
    <xf borderId="3" fillId="0" fontId="10" numFmtId="0" xfId="0" applyAlignment="1" applyBorder="1" applyFont="1">
      <alignment horizontal="center" readingOrder="0"/>
    </xf>
    <xf borderId="3" fillId="0" fontId="10" numFmtId="4" xfId="0" applyAlignment="1" applyBorder="1" applyFont="1" applyNumberFormat="1">
      <alignment horizontal="center"/>
    </xf>
    <xf borderId="3" fillId="0" fontId="10" numFmtId="10" xfId="0" applyAlignment="1" applyBorder="1" applyFont="1" applyNumberFormat="1">
      <alignment horizontal="center"/>
    </xf>
    <xf borderId="0" fillId="3" fontId="13" numFmtId="0" xfId="0" applyAlignment="1" applyFill="1" applyFont="1">
      <alignment readingOrder="0"/>
    </xf>
    <xf borderId="3" fillId="0" fontId="10" numFmtId="10" xfId="0" applyAlignment="1" applyBorder="1" applyFont="1" applyNumberFormat="1">
      <alignment horizontal="center" readingOrder="0"/>
    </xf>
    <xf borderId="0" fillId="0" fontId="10" numFmtId="0" xfId="0" applyFont="1"/>
    <xf borderId="3" fillId="0" fontId="10" numFmtId="4" xfId="0" applyAlignment="1" applyBorder="1" applyFont="1" applyNumberFormat="1">
      <alignment horizontal="center" readingOrder="0"/>
    </xf>
    <xf borderId="3" fillId="0" fontId="17" numFmtId="0" xfId="0" applyAlignment="1" applyBorder="1" applyFont="1">
      <alignment horizontal="left" readingOrder="0"/>
    </xf>
    <xf borderId="3" fillId="0" fontId="18" numFmtId="0" xfId="0" applyAlignment="1" applyBorder="1" applyFont="1">
      <alignment horizontal="center" readingOrder="0" shrinkToFit="0" vertical="bottom" wrapText="0"/>
    </xf>
    <xf borderId="0" fillId="0" fontId="9" numFmtId="4" xfId="0" applyFont="1" applyNumberFormat="1"/>
    <xf borderId="3" fillId="0" fontId="19" numFmtId="0" xfId="0" applyAlignment="1" applyBorder="1" applyFont="1">
      <alignment horizontal="center" readingOrder="0" shrinkToFit="0" vertical="center" wrapText="0"/>
    </xf>
    <xf borderId="0" fillId="0" fontId="19" numFmtId="0" xfId="0" applyAlignment="1" applyFont="1">
      <alignment horizontal="center" readingOrder="0" shrinkToFit="0" vertical="center" wrapText="0"/>
    </xf>
    <xf borderId="1" fillId="0" fontId="9" numFmtId="4" xfId="0" applyAlignment="1" applyBorder="1" applyFont="1" applyNumberFormat="1">
      <alignment readingOrder="0"/>
    </xf>
    <xf borderId="0" fillId="0" fontId="9" numFmtId="10" xfId="0" applyFont="1" applyNumberFormat="1"/>
    <xf borderId="1" fillId="0" fontId="9" numFmtId="10" xfId="0" applyBorder="1" applyFont="1" applyNumberFormat="1"/>
    <xf borderId="11" fillId="0" fontId="9" numFmtId="0" xfId="0" applyAlignment="1" applyBorder="1" applyFont="1">
      <alignment readingOrder="0" vertical="center"/>
    </xf>
    <xf borderId="16" fillId="0" fontId="3" numFmtId="0" xfId="0" applyBorder="1" applyFont="1"/>
    <xf borderId="3" fillId="0" fontId="13" numFmtId="0" xfId="0" applyAlignment="1" applyBorder="1" applyFont="1">
      <alignment horizontal="center" readingOrder="0"/>
    </xf>
    <xf borderId="3" fillId="0" fontId="9" numFmtId="0" xfId="0" applyBorder="1" applyFont="1"/>
    <xf borderId="3" fillId="0" fontId="13" numFmtId="0" xfId="0" applyAlignment="1" applyBorder="1" applyFont="1">
      <alignment horizontal="left" readingOrder="0"/>
    </xf>
    <xf borderId="1" fillId="0" fontId="9" numFmtId="0" xfId="0" applyBorder="1" applyFont="1"/>
    <xf borderId="0" fillId="0" fontId="13" numFmtId="0" xfId="0" applyAlignment="1" applyFont="1">
      <alignment readingOrder="0"/>
    </xf>
    <xf borderId="0" fillId="3" fontId="16" numFmtId="0" xfId="0" applyAlignment="1" applyFill="1" applyFont="1">
      <alignment horizontal="center" readingOrder="0"/>
    </xf>
    <xf borderId="0" fillId="2" fontId="16" numFmtId="0" xfId="0" applyAlignment="1" applyFill="1" applyFont="1">
      <alignment horizontal="center" readingOrder="0"/>
    </xf>
    <xf borderId="1" fillId="2" fontId="10" numFmtId="0" xfId="0" applyAlignment="1" applyBorder="1" applyFill="1" applyFont="1">
      <alignment horizontal="center" readingOrder="0"/>
    </xf>
    <xf borderId="3" fillId="0" fontId="19" numFmtId="0" xfId="0" applyAlignment="1" applyBorder="1" applyFont="1">
      <alignment horizontal="center" readingOrder="0" shrinkToFit="0" vertical="bottom" wrapText="0"/>
    </xf>
    <xf borderId="3" fillId="0" fontId="19" numFmtId="10" xfId="0" applyAlignment="1" applyBorder="1" applyFont="1" applyNumberFormat="1">
      <alignment horizontal="center" readingOrder="0" shrinkToFit="0" vertical="bottom" wrapText="0"/>
    </xf>
    <xf borderId="3" fillId="0" fontId="18" numFmtId="10" xfId="0" applyAlignment="1" applyBorder="1" applyFont="1" applyNumberFormat="1">
      <alignment horizontal="center" readingOrder="0" shrinkToFit="0" vertical="bottom" wrapText="0"/>
    </xf>
    <xf borderId="0" fillId="0" fontId="10" numFmtId="0" xfId="0" applyAlignment="1" applyFont="1">
      <alignment horizontal="center"/>
    </xf>
    <xf borderId="1" fillId="2" fontId="10" numFmtId="0" xfId="0" applyAlignment="1" applyBorder="1" applyFill="1" applyFont="1">
      <alignment horizontal="center" vertical="bottom"/>
    </xf>
    <xf borderId="1" fillId="0" fontId="19" numFmtId="0" xfId="0" applyAlignment="1" applyBorder="1" applyFont="1">
      <alignment horizontal="left" readingOrder="0" shrinkToFit="0" vertical="bottom" wrapText="0"/>
    </xf>
    <xf borderId="1" fillId="0" fontId="9" numFmtId="0" xfId="0" applyAlignment="1" applyBorder="1" applyFont="1">
      <alignment horizontal="left" readingOrder="0"/>
    </xf>
    <xf borderId="3" fillId="2" fontId="10" numFmtId="0" xfId="0" applyAlignment="1" applyBorder="1" applyFill="1" applyFont="1">
      <alignment horizontal="center" readingOrder="0" shrinkToFit="0" vertical="bottom" wrapText="0"/>
    </xf>
    <xf borderId="3" fillId="5" fontId="10" numFmtId="0" xfId="0" applyAlignment="1" applyBorder="1" applyFill="1" applyFont="1">
      <alignment horizontal="center" readingOrder="0" shrinkToFit="0" vertical="bottom" wrapText="0"/>
    </xf>
    <xf borderId="3" fillId="5" fontId="19" numFmtId="0" xfId="0" applyAlignment="1" applyBorder="1" applyFill="1" applyFont="1">
      <alignment horizontal="center" readingOrder="0" shrinkToFit="0" vertical="bottom" wrapText="0"/>
    </xf>
    <xf borderId="3" fillId="0" fontId="19" numFmtId="0" xfId="0" applyAlignment="1" applyBorder="1" applyFont="1">
      <alignment horizontal="center" shrinkToFit="0" vertical="bottom" wrapText="0"/>
    </xf>
    <xf borderId="3" fillId="0" fontId="18" numFmtId="0" xfId="0" applyAlignment="1" applyBorder="1" applyFont="1">
      <alignment horizontal="center" shrinkToFit="0" vertical="bottom" wrapText="0"/>
    </xf>
    <xf borderId="3" fillId="0" fontId="10" numFmtId="0" xfId="0" applyAlignment="1" applyBorder="1" applyFont="1">
      <alignment horizontal="center"/>
    </xf>
    <xf borderId="3" fillId="0" fontId="10" numFmtId="0" xfId="0" applyAlignment="1" applyBorder="1" applyFont="1">
      <alignment vertical="bottom"/>
    </xf>
    <xf borderId="1" fillId="0" fontId="10" numFmtId="0" xfId="0" applyAlignment="1" applyBorder="1" applyFont="1">
      <alignment vertical="bottom"/>
    </xf>
    <xf borderId="0" fillId="0" fontId="10" numFmtId="0" xfId="0" applyAlignment="1" applyFont="1">
      <alignment vertical="bottom"/>
    </xf>
    <xf borderId="0" fillId="0" fontId="10" numFmtId="0" xfId="0" applyAlignment="1" applyFont="1">
      <alignment horizontal="center" vertical="bottom"/>
    </xf>
    <xf borderId="1" fillId="5" fontId="10" numFmtId="0" xfId="0" applyAlignment="1" applyBorder="1" applyFill="1" applyFont="1">
      <alignment horizontal="center" readingOrder="0" shrinkToFit="0" vertical="bottom" wrapText="0"/>
    </xf>
    <xf borderId="3" fillId="5" fontId="19" numFmtId="0" xfId="0" applyAlignment="1" applyBorder="1" applyFill="1" applyFont="1">
      <alignment horizontal="center" shrinkToFit="0" vertical="bottom" wrapText="0"/>
    </xf>
    <xf borderId="3" fillId="5" fontId="9" numFmtId="0" xfId="0" applyAlignment="1" applyBorder="1" applyFill="1" applyFont="1">
      <alignment horizontal="center"/>
    </xf>
    <xf borderId="1" fillId="5" fontId="9" numFmtId="0" xfId="0" applyAlignment="1" applyBorder="1" applyFill="1" applyFont="1">
      <alignment horizontal="center"/>
    </xf>
    <xf borderId="1" fillId="0" fontId="19" numFmtId="0" xfId="0" applyAlignment="1" applyBorder="1" applyFont="1">
      <alignment horizontal="center" readingOrder="0" shrinkToFit="0" vertical="bottom" wrapText="0"/>
    </xf>
    <xf borderId="3" fillId="0" fontId="9" numFmtId="0" xfId="0" applyAlignment="1" applyBorder="1" applyFont="1">
      <alignment horizontal="center"/>
    </xf>
    <xf borderId="1" fillId="0" fontId="9" numFmtId="0" xfId="0" applyAlignment="1" applyBorder="1" applyFont="1">
      <alignment horizontal="center"/>
    </xf>
    <xf borderId="1" fillId="0" fontId="19" numFmtId="0" xfId="0" applyAlignment="1" applyBorder="1" applyFont="1">
      <alignment horizontal="center" shrinkToFit="0" vertical="bottom" wrapText="0"/>
    </xf>
    <xf borderId="1" fillId="0" fontId="19" numFmtId="0" xfId="0" applyAlignment="1" applyBorder="1" applyFont="1">
      <alignment horizontal="center" readingOrder="0" shrinkToFit="0" vertical="center" wrapText="0"/>
    </xf>
    <xf borderId="3" fillId="5" fontId="10" numFmtId="0" xfId="0" applyAlignment="1" applyBorder="1" applyFill="1" applyFont="1">
      <alignment horizontal="center" readingOrder="0"/>
    </xf>
    <xf borderId="0" fillId="2" fontId="20" numFmtId="0" xfId="0" applyAlignment="1" applyFill="1" applyFont="1">
      <alignment readingOrder="0"/>
    </xf>
    <xf borderId="0" fillId="0" fontId="2" numFmtId="0" xfId="0" applyAlignment="1" applyFont="1">
      <alignment readingOrder="0"/>
    </xf>
    <xf borderId="0" fillId="0" fontId="20" numFmtId="0" xfId="0" applyFont="1"/>
    <xf borderId="0" fillId="2" fontId="2" numFmtId="0" xfId="0" applyAlignment="1" applyFill="1" applyFont="1">
      <alignment readingOrder="0"/>
    </xf>
    <xf borderId="0" fillId="0" fontId="2" numFmtId="0" xfId="0" applyAlignment="1" applyFont="1">
      <alignment horizontal="right" readingOrder="0"/>
    </xf>
    <xf borderId="0" fillId="2" fontId="20" numFmtId="0" xfId="0" applyAlignment="1" applyFill="1" applyFont="1">
      <alignment horizontal="center" readingOrder="0"/>
    </xf>
    <xf borderId="3" fillId="2" fontId="20" numFmtId="0" xfId="0" applyAlignment="1" applyBorder="1" applyFill="1" applyFont="1">
      <alignment horizontal="center" readingOrder="0"/>
    </xf>
    <xf borderId="3" fillId="0" fontId="20" numFmtId="0" xfId="0" applyAlignment="1" applyBorder="1" applyFont="1">
      <alignment horizontal="center" readingOrder="0"/>
    </xf>
    <xf borderId="0" fillId="0" fontId="20" numFmtId="0" xfId="0" applyAlignment="1" applyFont="1">
      <alignment readingOrder="0"/>
    </xf>
    <xf borderId="3" fillId="0" fontId="20" numFmtId="0" xfId="0" applyAlignment="1" applyBorder="1" applyFont="1">
      <alignment readingOrder="0"/>
    </xf>
    <xf borderId="1" fillId="2" fontId="20" numFmtId="0" xfId="0" applyAlignment="1" applyBorder="1" applyFill="1" applyFont="1">
      <alignment horizontal="center" readingOrder="0"/>
    </xf>
    <xf borderId="0" fillId="2" fontId="13" numFmtId="0" xfId="0" applyAlignment="1" applyFill="1" applyFont="1">
      <alignment readingOrder="0"/>
    </xf>
    <xf borderId="3" fillId="0" fontId="21" numFmtId="0" xfId="0" applyAlignment="1" applyBorder="1" applyFont="1">
      <alignment readingOrder="0"/>
    </xf>
    <xf borderId="3" fillId="2" fontId="13" numFmtId="0" xfId="0" applyAlignment="1" applyBorder="1" applyFill="1" applyFont="1">
      <alignment horizontal="center" readingOrder="0"/>
    </xf>
    <xf borderId="3" fillId="0" fontId="22" numFmtId="0" xfId="0" applyAlignment="1" applyBorder="1" applyFont="1">
      <alignment readingOrder="0"/>
    </xf>
    <xf borderId="3" fillId="6" fontId="1" numFmtId="0" xfId="0" applyAlignment="1" applyBorder="1" applyFill="1" applyFont="1">
      <alignment horizontal="center" readingOrder="0"/>
    </xf>
    <xf borderId="3" fillId="6" fontId="2" numFmtId="0" xfId="0" applyAlignment="1" applyBorder="1" applyFill="1" applyFont="1">
      <alignment horizontal="center" readingOrder="0"/>
    </xf>
    <xf borderId="3" fillId="0" fontId="23" numFmtId="0" xfId="0" applyAlignment="1" applyBorder="1" applyFont="1">
      <alignment horizontal="center" readingOrder="0"/>
    </xf>
    <xf borderId="0" fillId="2" fontId="1" numFmtId="0" xfId="0" applyAlignment="1" applyFill="1" applyFont="1">
      <alignment horizontal="left" readingOrder="0"/>
    </xf>
    <xf borderId="0" fillId="0" fontId="2" numFmtId="0" xfId="0" applyAlignment="1" applyFont="1">
      <alignment horizontal="left" readingOrder="0"/>
    </xf>
    <xf borderId="0" fillId="6" fontId="1" numFmtId="0" xfId="0" applyAlignment="1" applyFill="1" applyFont="1">
      <alignment horizontal="center" readingOrder="0"/>
    </xf>
    <xf borderId="3" fillId="0" fontId="2" numFmtId="0" xfId="0" applyAlignment="1" applyBorder="1" applyFont="1">
      <alignment horizontal="center"/>
    </xf>
    <xf borderId="3" fillId="0" fontId="13" numFmtId="9" xfId="0" applyAlignment="1" applyBorder="1" applyFont="1" applyNumberFormat="1">
      <alignment horizontal="center" readingOrder="0"/>
    </xf>
    <xf borderId="3" fillId="0" fontId="13" numFmtId="0" xfId="0" applyAlignment="1" applyBorder="1" applyFont="1">
      <alignment horizontal="left"/>
    </xf>
    <xf borderId="0" fillId="0" fontId="20" numFmtId="0" xfId="0" applyAlignment="1" applyFont="1">
      <alignment horizontal="center" readingOrder="0"/>
    </xf>
    <xf borderId="3" fillId="2" fontId="20" numFmtId="10" xfId="0" applyAlignment="1" applyBorder="1" applyFill="1" applyFont="1" applyNumberFormat="1">
      <alignment horizontal="center" readingOrder="0"/>
    </xf>
    <xf borderId="3" fillId="0" fontId="20" numFmtId="10" xfId="0" applyAlignment="1" applyBorder="1" applyFont="1" applyNumberFormat="1">
      <alignment horizontal="center" readingOrder="0"/>
    </xf>
    <xf borderId="3" fillId="0" fontId="2" numFmtId="9" xfId="0" applyAlignment="1" applyBorder="1" applyFont="1" applyNumberFormat="1">
      <alignment horizontal="center" readingOrder="0"/>
    </xf>
    <xf borderId="0" fillId="7" fontId="13" numFmtId="0" xfId="0" applyAlignment="1" applyFill="1" applyFont="1">
      <alignment readingOrder="0"/>
    </xf>
    <xf borderId="0" fillId="2" fontId="2" numFmtId="0" xfId="0" applyAlignment="1" applyFill="1" applyFont="1">
      <alignment horizontal="left" readingOrder="0"/>
    </xf>
    <xf borderId="3" fillId="0" fontId="20" numFmtId="0" xfId="0" applyAlignment="1" applyBorder="1" applyFont="1">
      <alignment horizontal="left" readingOrder="0"/>
    </xf>
    <xf borderId="3" fillId="0" fontId="2" numFmtId="3" xfId="0" applyAlignment="1" applyBorder="1" applyFont="1" applyNumberFormat="1">
      <alignment horizontal="center" readingOrder="0"/>
    </xf>
    <xf borderId="3" fillId="0" fontId="13" numFmtId="10" xfId="0" applyAlignment="1" applyBorder="1" applyFont="1" applyNumberFormat="1">
      <alignment horizontal="center" readingOrder="0"/>
    </xf>
    <xf borderId="0" fillId="2" fontId="13" numFmtId="0" xfId="0" applyAlignment="1" applyFill="1" applyFont="1">
      <alignment horizontal="center" readingOrder="0"/>
    </xf>
    <xf borderId="0" fillId="0" fontId="16" numFmtId="0" xfId="0" applyAlignment="1" applyFont="1">
      <alignment horizontal="center"/>
    </xf>
    <xf borderId="3" fillId="0" fontId="13" numFmtId="4" xfId="0" applyAlignment="1" applyBorder="1" applyFont="1" applyNumberFormat="1">
      <alignment horizontal="center" readingOrder="0"/>
    </xf>
    <xf borderId="0" fillId="0" fontId="2" numFmtId="0" xfId="0" applyAlignment="1" applyFont="1">
      <alignment horizontal="left"/>
    </xf>
    <xf borderId="3" fillId="2" fontId="16" numFmtId="10" xfId="0" applyAlignment="1" applyBorder="1" applyFill="1" applyFont="1" applyNumberFormat="1">
      <alignment horizontal="center" readingOrder="0"/>
    </xf>
    <xf borderId="0" fillId="0" fontId="13" numFmtId="0" xfId="0" applyAlignment="1" applyFont="1">
      <alignment horizontal="center" readingOrder="0"/>
    </xf>
    <xf borderId="0" fillId="0" fontId="1" numFmtId="0" xfId="0" applyAlignment="1" applyFont="1">
      <alignment horizontal="left" readingOrder="0"/>
    </xf>
    <xf borderId="0" fillId="0" fontId="16" numFmtId="0" xfId="0" applyAlignment="1" applyFont="1">
      <alignment readingOrder="0"/>
    </xf>
    <xf borderId="3" fillId="0" fontId="16" numFmtId="0" xfId="0" applyAlignment="1" applyBorder="1" applyFont="1">
      <alignment horizontal="center" readingOrder="0"/>
    </xf>
    <xf borderId="3" fillId="0" fontId="24" numFmtId="0" xfId="0" applyAlignment="1" applyBorder="1" applyFont="1">
      <alignment horizontal="center" readingOrder="0"/>
    </xf>
    <xf borderId="0" fillId="0" fontId="16" numFmtId="0" xfId="0" applyAlignment="1" applyFont="1">
      <alignment horizontal="right" readingOrder="0"/>
    </xf>
    <xf borderId="0" fillId="2" fontId="16" numFmtId="0" xfId="0" applyAlignment="1" applyFill="1" applyFont="1">
      <alignment horizontal="left" readingOrder="0"/>
    </xf>
    <xf borderId="0" fillId="0" fontId="13" numFmtId="0" xfId="0" applyAlignment="1" applyFont="1">
      <alignment horizontal="left" readingOrder="0" shrinkToFit="0" vertical="center" wrapText="0"/>
    </xf>
    <xf borderId="0" fillId="0" fontId="13" numFmtId="0" xfId="0" applyAlignment="1" applyFont="1">
      <alignment shrinkToFit="0" vertical="center" wrapText="0"/>
    </xf>
    <xf borderId="0" fillId="0" fontId="13" numFmtId="0" xfId="0" applyAlignment="1" applyFont="1">
      <alignment readingOrder="0" shrinkToFit="0" vertical="center" wrapText="0"/>
    </xf>
    <xf borderId="0" fillId="0" fontId="13"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Chart1 Growth Rates Trends (20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38761D"/>
                </a:solidFill>
                <a:latin typeface="+mn-lt"/>
              </a:defRPr>
            </a:pPr>
            <a:r>
              <a:rPr b="0">
                <a:solidFill>
                  <a:srgbClr val="38761D"/>
                </a:solidFill>
                <a:latin typeface="+mn-lt"/>
              </a:rPr>
              <a:t>Growth Rates Trends (2022-2026)</a:t>
            </a:r>
          </a:p>
        </c:rich>
      </c:tx>
      <c:overlay val="0"/>
    </c:title>
    <c:plotArea>
      <c:layout/>
      <c:lineChart>
        <c:ser>
          <c:idx val="0"/>
          <c:order val="0"/>
          <c:tx>
            <c:strRef>
              <c:f>'Chart1 Growth Rates Trends (202'!$B$3</c:f>
            </c:strRef>
          </c:tx>
          <c:spPr>
            <a:ln cmpd="sng">
              <a:solidFill>
                <a:srgbClr val="4285F4"/>
              </a:solidFill>
            </a:ln>
          </c:spPr>
          <c:marker>
            <c:symbol val="circle"/>
            <c:size val="7"/>
            <c:spPr>
              <a:solidFill>
                <a:srgbClr val="4285F4"/>
              </a:solidFill>
              <a:ln cmpd="sng">
                <a:solidFill>
                  <a:srgbClr val="4285F4"/>
                </a:solidFill>
              </a:ln>
            </c:spPr>
          </c:marker>
          <c:cat>
            <c:strRef>
              <c:f>'Chart1 Growth Rates Trends (202'!$A$4:$A$8</c:f>
            </c:strRef>
          </c:cat>
          <c:val>
            <c:numRef>
              <c:f>'Chart1 Growth Rates Trends (202'!$B$4:$B$8</c:f>
              <c:numCache/>
            </c:numRef>
          </c:val>
          <c:smooth val="0"/>
        </c:ser>
        <c:ser>
          <c:idx val="1"/>
          <c:order val="1"/>
          <c:tx>
            <c:strRef>
              <c:f>'Chart1 Growth Rates Trends (202'!$C$3</c:f>
            </c:strRef>
          </c:tx>
          <c:spPr>
            <a:ln cmpd="sng">
              <a:solidFill>
                <a:srgbClr val="EA4335"/>
              </a:solidFill>
            </a:ln>
          </c:spPr>
          <c:marker>
            <c:symbol val="circle"/>
            <c:size val="7"/>
            <c:spPr>
              <a:solidFill>
                <a:srgbClr val="EA4335"/>
              </a:solidFill>
              <a:ln cmpd="sng">
                <a:solidFill>
                  <a:srgbClr val="EA4335"/>
                </a:solidFill>
              </a:ln>
            </c:spPr>
          </c:marker>
          <c:cat>
            <c:strRef>
              <c:f>'Chart1 Growth Rates Trends (202'!$A$4:$A$8</c:f>
            </c:strRef>
          </c:cat>
          <c:val>
            <c:numRef>
              <c:f>'Chart1 Growth Rates Trends (202'!$C$4:$C$8</c:f>
              <c:numCache/>
            </c:numRef>
          </c:val>
          <c:smooth val="0"/>
        </c:ser>
        <c:ser>
          <c:idx val="2"/>
          <c:order val="2"/>
          <c:tx>
            <c:strRef>
              <c:f>'Chart1 Growth Rates Trends (202'!$D$3</c:f>
            </c:strRef>
          </c:tx>
          <c:spPr>
            <a:ln cmpd="sng">
              <a:solidFill>
                <a:srgbClr val="FBBC04"/>
              </a:solidFill>
            </a:ln>
          </c:spPr>
          <c:marker>
            <c:symbol val="circle"/>
            <c:size val="7"/>
            <c:spPr>
              <a:solidFill>
                <a:srgbClr val="FBBC04"/>
              </a:solidFill>
              <a:ln cmpd="sng">
                <a:solidFill>
                  <a:srgbClr val="FBBC04"/>
                </a:solidFill>
              </a:ln>
            </c:spPr>
          </c:marker>
          <c:cat>
            <c:strRef>
              <c:f>'Chart1 Growth Rates Trends (202'!$A$4:$A$8</c:f>
            </c:strRef>
          </c:cat>
          <c:val>
            <c:numRef>
              <c:f>'Chart1 Growth Rates Trends (202'!$D$4:$D$8</c:f>
              <c:numCache/>
            </c:numRef>
          </c:val>
          <c:smooth val="0"/>
        </c:ser>
        <c:ser>
          <c:idx val="3"/>
          <c:order val="3"/>
          <c:tx>
            <c:strRef>
              <c:f>'Chart1 Growth Rates Trends (202'!$E$3</c:f>
            </c:strRef>
          </c:tx>
          <c:spPr>
            <a:ln cmpd="sng">
              <a:solidFill>
                <a:srgbClr val="34A853"/>
              </a:solidFill>
            </a:ln>
          </c:spPr>
          <c:marker>
            <c:symbol val="circle"/>
            <c:size val="7"/>
            <c:spPr>
              <a:solidFill>
                <a:srgbClr val="34A853"/>
              </a:solidFill>
              <a:ln cmpd="sng">
                <a:solidFill>
                  <a:srgbClr val="34A853"/>
                </a:solidFill>
              </a:ln>
            </c:spPr>
          </c:marker>
          <c:cat>
            <c:strRef>
              <c:f>'Chart1 Growth Rates Trends (202'!$A$4:$A$8</c:f>
            </c:strRef>
          </c:cat>
          <c:val>
            <c:numRef>
              <c:f>'Chart1 Growth Rates Trends (202'!$E$4:$E$8</c:f>
              <c:numCache/>
            </c:numRef>
          </c:val>
          <c:smooth val="0"/>
        </c:ser>
        <c:ser>
          <c:idx val="4"/>
          <c:order val="4"/>
          <c:tx>
            <c:strRef>
              <c:f>'Chart1 Growth Rates Trends (202'!$F$3</c:f>
            </c:strRef>
          </c:tx>
          <c:spPr>
            <a:ln cmpd="sng">
              <a:solidFill>
                <a:srgbClr val="FF6D01"/>
              </a:solidFill>
            </a:ln>
          </c:spPr>
          <c:marker>
            <c:symbol val="circle"/>
            <c:size val="7"/>
            <c:spPr>
              <a:solidFill>
                <a:srgbClr val="FF6D01"/>
              </a:solidFill>
              <a:ln cmpd="sng">
                <a:solidFill>
                  <a:srgbClr val="FF6D01"/>
                </a:solidFill>
              </a:ln>
            </c:spPr>
          </c:marker>
          <c:cat>
            <c:strRef>
              <c:f>'Chart1 Growth Rates Trends (202'!$A$4:$A$8</c:f>
            </c:strRef>
          </c:cat>
          <c:val>
            <c:numRef>
              <c:f>'Chart1 Growth Rates Trends (202'!$F$4:$F$8</c:f>
              <c:numCache/>
            </c:numRef>
          </c:val>
          <c:smooth val="0"/>
        </c:ser>
        <c:axId val="763770539"/>
        <c:axId val="1156680035"/>
      </c:lineChart>
      <c:catAx>
        <c:axId val="7637705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56680035"/>
      </c:catAx>
      <c:valAx>
        <c:axId val="115668003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Growth Rate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3770539"/>
      </c:valAx>
    </c:plotArea>
    <c:legend>
      <c:legendPos val="b"/>
      <c:overlay val="0"/>
      <c:txPr>
        <a:bodyPr/>
        <a:lstStyle/>
        <a:p>
          <a:pPr lvl="0">
            <a:defRPr b="0">
              <a:solidFill>
                <a:srgbClr val="1A1A1A"/>
              </a:solidFill>
              <a:latin typeface="+mn-lt"/>
            </a:defRPr>
          </a:pPr>
        </a:p>
      </c:txPr>
    </c:legend>
  </c:chart>
  <c:spPr>
    <a:solidFill>
      <a:srgbClr val="F3F3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Growth Rates Trends (2022-2026)</a:t>
            </a:r>
          </a:p>
        </c:rich>
      </c:tx>
      <c:overlay val="0"/>
    </c:title>
    <c:plotArea>
      <c:layout/>
      <c:lineChart>
        <c:ser>
          <c:idx val="0"/>
          <c:order val="0"/>
          <c:tx>
            <c:strRef>
              <c:f>'Chart1 Growth Rates Trends (202'!$B$3</c:f>
            </c:strRef>
          </c:tx>
          <c:spPr>
            <a:ln cmpd="sng">
              <a:solidFill>
                <a:srgbClr val="4285F4"/>
              </a:solidFill>
            </a:ln>
          </c:spPr>
          <c:marker>
            <c:symbol val="none"/>
          </c:marker>
          <c:cat>
            <c:strRef>
              <c:f>'Chart1 Growth Rates Trends (202'!$A$4:$A$8</c:f>
            </c:strRef>
          </c:cat>
          <c:val>
            <c:numRef>
              <c:f>'Chart1 Growth Rates Trends (202'!$B$4:$B$8</c:f>
              <c:numCache/>
            </c:numRef>
          </c:val>
          <c:smooth val="0"/>
        </c:ser>
        <c:ser>
          <c:idx val="1"/>
          <c:order val="1"/>
          <c:tx>
            <c:strRef>
              <c:f>'Chart1 Growth Rates Trends (202'!$C$3</c:f>
            </c:strRef>
          </c:tx>
          <c:spPr>
            <a:ln cmpd="sng">
              <a:solidFill>
                <a:srgbClr val="EA4335"/>
              </a:solidFill>
            </a:ln>
          </c:spPr>
          <c:marker>
            <c:symbol val="none"/>
          </c:marker>
          <c:cat>
            <c:strRef>
              <c:f>'Chart1 Growth Rates Trends (202'!$A$4:$A$8</c:f>
            </c:strRef>
          </c:cat>
          <c:val>
            <c:numRef>
              <c:f>'Chart1 Growth Rates Trends (202'!$C$4:$C$8</c:f>
              <c:numCache/>
            </c:numRef>
          </c:val>
          <c:smooth val="0"/>
        </c:ser>
        <c:ser>
          <c:idx val="2"/>
          <c:order val="2"/>
          <c:tx>
            <c:strRef>
              <c:f>'Chart1 Growth Rates Trends (202'!$D$3</c:f>
            </c:strRef>
          </c:tx>
          <c:spPr>
            <a:ln cmpd="sng">
              <a:solidFill>
                <a:srgbClr val="FBBC04"/>
              </a:solidFill>
            </a:ln>
          </c:spPr>
          <c:marker>
            <c:symbol val="none"/>
          </c:marker>
          <c:cat>
            <c:strRef>
              <c:f>'Chart1 Growth Rates Trends (202'!$A$4:$A$8</c:f>
            </c:strRef>
          </c:cat>
          <c:val>
            <c:numRef>
              <c:f>'Chart1 Growth Rates Trends (202'!$D$4:$D$8</c:f>
              <c:numCache/>
            </c:numRef>
          </c:val>
          <c:smooth val="0"/>
        </c:ser>
        <c:ser>
          <c:idx val="3"/>
          <c:order val="3"/>
          <c:tx>
            <c:strRef>
              <c:f>'Chart1 Growth Rates Trends (202'!$E$3</c:f>
            </c:strRef>
          </c:tx>
          <c:spPr>
            <a:ln cmpd="sng">
              <a:solidFill>
                <a:srgbClr val="34A853"/>
              </a:solidFill>
            </a:ln>
          </c:spPr>
          <c:marker>
            <c:symbol val="none"/>
          </c:marker>
          <c:cat>
            <c:strRef>
              <c:f>'Chart1 Growth Rates Trends (202'!$A$4:$A$8</c:f>
            </c:strRef>
          </c:cat>
          <c:val>
            <c:numRef>
              <c:f>'Chart1 Growth Rates Trends (202'!$E$4:$E$8</c:f>
              <c:numCache/>
            </c:numRef>
          </c:val>
          <c:smooth val="0"/>
        </c:ser>
        <c:ser>
          <c:idx val="4"/>
          <c:order val="4"/>
          <c:tx>
            <c:strRef>
              <c:f>'Chart1 Growth Rates Trends (202'!$F$3</c:f>
            </c:strRef>
          </c:tx>
          <c:spPr>
            <a:ln cmpd="sng">
              <a:solidFill>
                <a:srgbClr val="FF6D01"/>
              </a:solidFill>
            </a:ln>
          </c:spPr>
          <c:marker>
            <c:symbol val="none"/>
          </c:marker>
          <c:cat>
            <c:strRef>
              <c:f>'Chart1 Growth Rates Trends (202'!$A$4:$A$8</c:f>
            </c:strRef>
          </c:cat>
          <c:val>
            <c:numRef>
              <c:f>'Chart1 Growth Rates Trends (202'!$F$4:$F$8</c:f>
              <c:numCache/>
            </c:numRef>
          </c:val>
          <c:smooth val="0"/>
        </c:ser>
        <c:axId val="625951765"/>
        <c:axId val="1698992041"/>
      </c:lineChart>
      <c:catAx>
        <c:axId val="6259517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98992041"/>
      </c:catAx>
      <c:valAx>
        <c:axId val="1698992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Growth Rate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5951765"/>
      </c:valAx>
    </c:plotArea>
    <c:legend>
      <c:legendPos val="b"/>
      <c:overlay val="0"/>
      <c:txPr>
        <a:bodyPr/>
        <a:lstStyle/>
        <a:p>
          <a:pPr lvl="0">
            <a:defRPr b="0">
              <a:solidFill>
                <a:srgbClr val="1A1A1A"/>
              </a:solidFill>
              <a:latin typeface="+mn-lt"/>
            </a:defRPr>
          </a:pPr>
        </a:p>
      </c:txPr>
    </c:legend>
  </c:chart>
  <c:spPr>
    <a:solidFill>
      <a:srgbClr val="F0F4F9"/>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56</xdr:row>
      <xdr:rowOff>38100</xdr:rowOff>
    </xdr:from>
    <xdr:ext cx="7019925" cy="4229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3:F8" displayName="Growth_Rates_Trends_2022_2026_" name="Growth_Rates_Trends_2022_2026_" id="1">
  <tableColumns count="6">
    <tableColumn name="Year" id="1"/>
    <tableColumn name="Revenue YoY Growth" id="2"/>
    <tableColumn name="EBITDA YoY Growth" id="3"/>
    <tableColumn name="Net Profit YoY Growth" id="4"/>
    <tableColumn name="Total Assets Growth" id="5"/>
    <tableColumn name="Equity Growth" id="6"/>
  </tableColumns>
  <tableStyleInfo name="Chart1 Growth Rates Trends (20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dslindia.com/InvestorRels/AnnualReports.html" TargetMode="External"/><Relationship Id="rId2" Type="http://schemas.openxmlformats.org/officeDocument/2006/relationships/hyperlink" Target="https://drive.google.com/drive/folders/1Qhx6_CovElkG-2AiF0mTD_0T-lGiDurM?usp=sharing" TargetMode="External"/><Relationship Id="rId3" Type="http://schemas.openxmlformats.org/officeDocument/2006/relationships/hyperlink" Target="https://drive.google.com/drive/folders/1RJrPCVNy2BAitqJkfItQlSREklU9ywtX?usp=sharing" TargetMode="External"/><Relationship Id="rId4" Type="http://schemas.openxmlformats.org/officeDocument/2006/relationships/hyperlink" Target="https://drive.google.com/drive/folders/1ot1RQnDqQ1FlYVTMdI_oiENd-21yxqOn?usp=sharing" TargetMode="External"/><Relationship Id="rId5" Type="http://schemas.openxmlformats.org/officeDocument/2006/relationships/hyperlink" Target="https://drive.google.com/drive/folders/1LaztLcn27Gslff2LfrcjYYoLL-hbg38c?usp=sharin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R8KDjTIyHdN-b656eRMZX5sAD-TgQ9bB?usp=sharing" TargetMode="External"/><Relationship Id="rId2" Type="http://schemas.openxmlformats.org/officeDocument/2006/relationships/hyperlink" Target="https://drive.google.com/drive/folders/1R8KDjTIyHdN-b656eRMZX5sAD-TgQ9bB?usp=sharing" TargetMode="External"/><Relationship Id="rId3" Type="http://schemas.openxmlformats.org/officeDocument/2006/relationships/hyperlink" Target="https://drive.google.com/drive/folders/1R8KDjTIyHdN-b656eRMZX5sAD-TgQ9bB?usp=shar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cdslindia.com/about/overview.html" TargetMode="External"/><Relationship Id="rId2" Type="http://schemas.openxmlformats.org/officeDocument/2006/relationships/hyperlink" Target="https://drive.google.com/drive/folders/11F8fy2OkJOqn7Cbc1QtJ89R6_88EDHju?usp=sharing" TargetMode="External"/><Relationship Id="rId3" Type="http://schemas.openxmlformats.org/officeDocument/2006/relationships/hyperlink" Target="https://drive.google.com/drive/folders/1iI4OYGvOLkrs_F9AFgSFqt1tAfxFni55?usp=sharing" TargetMode="External"/><Relationship Id="rId4" Type="http://schemas.openxmlformats.org/officeDocument/2006/relationships/hyperlink" Target="https://www.cdslindia.com/Downloads/InvestorRels/AnnualReports/CDSL_IR25_Final.pdf?utm_source=chatgpt.com" TargetMode="External"/><Relationship Id="rId5" Type="http://schemas.openxmlformats.org/officeDocument/2006/relationships/hyperlink" Target="https://www.msei.in/SX-Content/Listing/Annual-Reports/2025/NSDL-2025.pdf?utm_source=chatgpt.com" TargetMode="External"/><Relationship Id="rId6" Type="http://schemas.openxmlformats.org/officeDocument/2006/relationships/hyperlink" Target="https://nsearchives.nseindia.com/annual_reports/AR_27085_CDSL_2024_2025_A_23072025183612.pdf?utm_source=chatgpt.com"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jz-B9c213fOypgamVcnmEjxnxo0kV79aESFVPSVzqYg/edit?gid=1893715749" TargetMode="External"/><Relationship Id="rId2" Type="http://schemas.openxmlformats.org/officeDocument/2006/relationships/hyperlink" Target="https://docs.google.com/spreadsheets/d/1jz-B9c213fOypgamVcnmEjxnxo0kV79aESFVPSVzqYg/edit?gid=500236260" TargetMode="External"/><Relationship Id="rId3" Type="http://schemas.openxmlformats.org/officeDocument/2006/relationships/hyperlink" Target="https://docs.google.com/spreadsheets/d/1jz-B9c213fOypgamVcnmEjxnxo0kV79aESFVPSVzqYg/edit?gid=794050223" TargetMode="External"/><Relationship Id="rId4" Type="http://schemas.openxmlformats.org/officeDocument/2006/relationships/hyperlink" Target="https://docs.google.com/spreadsheets/d/1jz-B9c213fOypgamVcnmEjxnxo0kV79aESFVPSVzqYg/edit?gid=1594086878" TargetMode="External"/><Relationship Id="rId5" Type="http://schemas.openxmlformats.org/officeDocument/2006/relationships/hyperlink" Target="https://docs.google.com/spreadsheets/d/1jz-B9c213fOypgamVcnmEjxnxo0kV79aESFVPSVzqYg/edit?gid=950321932" TargetMode="External"/><Relationship Id="rId6" Type="http://schemas.openxmlformats.org/officeDocument/2006/relationships/hyperlink" Target="https://docs.google.com/spreadsheets/d/1jz-B9c213fOypgamVcnmEjxnxo0kV79aESFVPSVzqYg/edit?gid=519151021"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cdslindia.com/gujarati/downloads/InvestorRels/AnnualReports/CIRL%20-%20Annual%20Report%20-%202025-26.pdf?utm_source=chatgpt.com" TargetMode="External"/><Relationship Id="rId2" Type="http://schemas.openxmlformats.org/officeDocument/2006/relationships/hyperlink" Target="https://www.cdslindia.com/downloads/InvestorRels/CorporateGovernance/OutcomeBM02052026_Sd.pdf?utm_source=chatgpt.com" TargetMode="External"/><Relationship Id="rId3" Type="http://schemas.openxmlformats.org/officeDocument/2006/relationships/hyperlink" Target="https://www.cdslindia.com/gujarati/Downloads/About/Media/Financial%20Media%20Release_CDSL%20declares%20financial%20results%20for%20Q4%20and%20FY26.pdf?utm_source=chatgpt.com" TargetMode="External"/><Relationship Id="rId4" Type="http://schemas.openxmlformats.org/officeDocument/2006/relationships/hyperlink" Target="https://www.cdslindia.com/gujarati/downloads/InvestorRels/CorporateGovernance/CDSL_IR25_Notice_Final_23072025.pdf?utm_source=chatgpt.com" TargetMode="External"/><Relationship Id="rId5" Type="http://schemas.openxmlformats.org/officeDocument/2006/relationships/hyperlink" Target="https://www.cdslindia.com/InvestorRels/CorporateGovernance.html?utm_source=chatgpt.com" TargetMode="External"/><Relationship Id="rId6" Type="http://schemas.openxmlformats.org/officeDocument/2006/relationships/hyperlink" Target="https://drive.google.com/drive/folders/1HHO_zre2sezdU5E5GrhsRSAf9M4_rcpj?usp=sharing"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HHO_zre2sezdU5E5GrhsRSAf9M4_rcpj?usp=sharing" TargetMode="External"/><Relationship Id="rId2" Type="http://schemas.openxmlformats.org/officeDocument/2006/relationships/hyperlink" Target="https://drive.google.com/drive/folders/1fPYjYtHBJHn2W5lPWD9FwYSVJWe0iBM8?usp=sharing"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ockanalysis.com/" TargetMode="External"/><Relationship Id="rId2" Type="http://schemas.openxmlformats.org/officeDocument/2006/relationships/hyperlink" Target="https://finbox.com/NSEI:CDSL/explorer/capex/"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47.5"/>
    <col customWidth="1" min="2" max="2" width="32.13"/>
    <col customWidth="1" min="3" max="3" width="24.88"/>
    <col customWidth="1" min="4" max="4" width="20.63"/>
    <col customWidth="1" min="5" max="5" width="23.5"/>
    <col customWidth="1" min="6" max="6" width="22.38"/>
    <col customWidth="1" min="7" max="7" width="46.0"/>
    <col customWidth="1" min="8" max="9" width="16.88"/>
    <col customWidth="1" min="11" max="11" width="15.5"/>
    <col customWidth="1" min="13" max="13" width="14.75"/>
  </cols>
  <sheetData>
    <row r="1">
      <c r="A1" s="1" t="s">
        <v>85</v>
      </c>
      <c r="B1" s="36"/>
      <c r="C1" s="36"/>
      <c r="D1" s="36"/>
      <c r="E1" s="36"/>
      <c r="F1" s="36"/>
      <c r="G1" s="36"/>
      <c r="H1" s="36"/>
      <c r="I1" s="36"/>
      <c r="J1" s="37"/>
      <c r="K1" s="37"/>
      <c r="L1" s="37"/>
      <c r="M1" s="37"/>
      <c r="N1" s="37"/>
      <c r="O1" s="37"/>
      <c r="P1" s="37"/>
      <c r="Q1" s="37"/>
      <c r="R1" s="37"/>
      <c r="S1" s="37"/>
      <c r="T1" s="37"/>
      <c r="U1" s="37"/>
      <c r="V1" s="37"/>
      <c r="W1" s="37"/>
      <c r="X1" s="37"/>
      <c r="Y1" s="37"/>
      <c r="Z1" s="37"/>
    </row>
    <row r="2">
      <c r="A2" s="38"/>
      <c r="B2" s="36"/>
      <c r="C2" s="36"/>
      <c r="D2" s="36"/>
      <c r="E2" s="36"/>
      <c r="F2" s="36"/>
      <c r="G2" s="36"/>
      <c r="H2" s="36"/>
      <c r="I2" s="36"/>
      <c r="J2" s="37"/>
      <c r="K2" s="37"/>
      <c r="L2" s="37"/>
      <c r="M2" s="37"/>
      <c r="N2" s="37"/>
      <c r="O2" s="37"/>
      <c r="P2" s="37"/>
      <c r="Q2" s="37"/>
      <c r="R2" s="37"/>
      <c r="S2" s="37"/>
      <c r="T2" s="37"/>
      <c r="U2" s="37"/>
      <c r="V2" s="37"/>
      <c r="W2" s="37"/>
      <c r="X2" s="37"/>
      <c r="Y2" s="37"/>
      <c r="Z2" s="37"/>
    </row>
    <row r="3">
      <c r="A3" s="39" t="s">
        <v>116</v>
      </c>
      <c r="B3" s="40" t="s">
        <v>123</v>
      </c>
      <c r="C3" s="26"/>
      <c r="D3" s="26"/>
      <c r="E3" s="26"/>
      <c r="F3" s="26"/>
      <c r="G3" s="26"/>
      <c r="H3" s="26"/>
      <c r="I3" s="27"/>
      <c r="J3" s="37"/>
      <c r="K3" s="37"/>
      <c r="L3" s="37"/>
      <c r="M3" s="37"/>
      <c r="N3" s="37"/>
      <c r="O3" s="37"/>
      <c r="P3" s="37"/>
      <c r="Q3" s="37"/>
      <c r="R3" s="37"/>
      <c r="S3" s="37"/>
      <c r="T3" s="37"/>
      <c r="U3" s="37"/>
      <c r="V3" s="37"/>
      <c r="W3" s="37"/>
      <c r="X3" s="37"/>
      <c r="Y3" s="37"/>
      <c r="Z3" s="37"/>
    </row>
    <row r="4">
      <c r="A4" s="44"/>
      <c r="B4" s="41"/>
      <c r="C4" s="42"/>
      <c r="D4" s="42"/>
      <c r="E4" s="42"/>
      <c r="F4" s="42"/>
      <c r="G4" s="42"/>
      <c r="H4" s="42"/>
      <c r="I4" s="43"/>
      <c r="J4" s="37"/>
      <c r="K4" s="37"/>
      <c r="L4" s="37"/>
      <c r="M4" s="37"/>
      <c r="N4" s="37"/>
      <c r="O4" s="37"/>
      <c r="P4" s="37"/>
      <c r="Q4" s="37"/>
      <c r="R4" s="37"/>
      <c r="S4" s="37"/>
      <c r="T4" s="37"/>
      <c r="U4" s="37"/>
      <c r="V4" s="37"/>
      <c r="W4" s="37"/>
      <c r="X4" s="37"/>
      <c r="Y4" s="37"/>
      <c r="Z4" s="37"/>
    </row>
    <row r="5">
      <c r="A5" s="48"/>
      <c r="B5" s="49"/>
      <c r="C5" s="49"/>
      <c r="D5" s="49"/>
      <c r="E5" s="49"/>
      <c r="F5" s="49"/>
      <c r="G5" s="37"/>
      <c r="H5" s="37"/>
      <c r="I5" s="37"/>
      <c r="J5" s="37"/>
      <c r="K5" s="37"/>
      <c r="L5" s="37"/>
      <c r="M5" s="37"/>
      <c r="N5" s="37"/>
      <c r="O5" s="37"/>
      <c r="P5" s="37"/>
      <c r="Q5" s="37"/>
      <c r="R5" s="37"/>
      <c r="S5" s="37"/>
      <c r="T5" s="37"/>
      <c r="U5" s="37"/>
      <c r="V5" s="37"/>
      <c r="W5" s="37"/>
      <c r="X5" s="37"/>
      <c r="Y5" s="37"/>
      <c r="Z5" s="37"/>
    </row>
    <row r="6">
      <c r="A6" s="50" t="s">
        <v>139</v>
      </c>
      <c r="B6" s="53" t="s">
        <v>142</v>
      </c>
      <c r="C6" s="53" t="s">
        <v>148</v>
      </c>
      <c r="D6" s="53" t="s">
        <v>150</v>
      </c>
      <c r="E6" s="53" t="s">
        <v>152</v>
      </c>
      <c r="F6" s="53" t="s">
        <v>153</v>
      </c>
      <c r="G6" s="54"/>
      <c r="H6" s="37"/>
      <c r="I6" s="37"/>
      <c r="J6" s="37"/>
      <c r="K6" s="37"/>
      <c r="L6" s="37"/>
      <c r="M6" s="37"/>
      <c r="N6" s="37"/>
      <c r="O6" s="37"/>
      <c r="P6" s="37"/>
      <c r="Q6" s="37"/>
      <c r="R6" s="37"/>
      <c r="S6" s="37"/>
      <c r="T6" s="37"/>
      <c r="U6" s="37"/>
      <c r="V6" s="37"/>
      <c r="W6" s="37"/>
      <c r="X6" s="37"/>
      <c r="Y6" s="37"/>
      <c r="Z6" s="37"/>
    </row>
    <row r="7">
      <c r="A7" s="55" t="s">
        <v>156</v>
      </c>
      <c r="B7" s="57" t="s">
        <v>157</v>
      </c>
      <c r="C7" s="16"/>
      <c r="D7" s="16"/>
      <c r="E7" s="16"/>
      <c r="F7" s="5"/>
      <c r="G7" s="37"/>
      <c r="H7" s="37"/>
      <c r="I7" s="37"/>
      <c r="J7" s="37"/>
      <c r="K7" s="37"/>
      <c r="L7" s="37"/>
      <c r="M7" s="37"/>
      <c r="N7" s="37"/>
      <c r="O7" s="37"/>
      <c r="P7" s="37"/>
      <c r="Q7" s="37"/>
      <c r="R7" s="37"/>
      <c r="S7" s="37"/>
      <c r="T7" s="37"/>
      <c r="U7" s="37"/>
      <c r="V7" s="37"/>
      <c r="W7" s="37"/>
      <c r="X7" s="37"/>
      <c r="Y7" s="37"/>
      <c r="Z7" s="37"/>
    </row>
    <row r="8">
      <c r="A8" s="58" t="s">
        <v>184</v>
      </c>
      <c r="B8" s="57" t="s">
        <v>186</v>
      </c>
      <c r="C8" s="16"/>
      <c r="D8" s="16"/>
      <c r="E8" s="16"/>
      <c r="F8" s="5"/>
      <c r="G8" s="37"/>
      <c r="H8" s="37"/>
      <c r="I8" s="37"/>
      <c r="J8" s="37"/>
      <c r="K8" s="37"/>
      <c r="L8" s="37"/>
      <c r="M8" s="37"/>
      <c r="N8" s="37"/>
      <c r="O8" s="37"/>
      <c r="P8" s="37"/>
      <c r="Q8" s="37"/>
      <c r="R8" s="37"/>
      <c r="S8" s="37"/>
      <c r="T8" s="37"/>
      <c r="U8" s="37"/>
      <c r="V8" s="37"/>
      <c r="W8" s="37"/>
      <c r="X8" s="37"/>
      <c r="Y8" s="37"/>
      <c r="Z8" s="37"/>
    </row>
    <row r="9">
      <c r="A9" s="58" t="s">
        <v>204</v>
      </c>
      <c r="B9" s="57" t="s">
        <v>206</v>
      </c>
      <c r="C9" s="16"/>
      <c r="D9" s="16"/>
      <c r="E9" s="16"/>
      <c r="F9" s="5"/>
      <c r="G9" s="37"/>
      <c r="H9" s="37"/>
      <c r="I9" s="37"/>
      <c r="J9" s="37"/>
      <c r="K9" s="37"/>
      <c r="L9" s="37"/>
      <c r="M9" s="37"/>
      <c r="N9" s="37"/>
      <c r="O9" s="37"/>
      <c r="P9" s="37"/>
      <c r="Q9" s="37"/>
      <c r="R9" s="37"/>
      <c r="S9" s="37"/>
      <c r="T9" s="37"/>
      <c r="U9" s="37"/>
      <c r="V9" s="37"/>
      <c r="W9" s="37"/>
      <c r="X9" s="37"/>
      <c r="Y9" s="37"/>
      <c r="Z9" s="37"/>
    </row>
    <row r="10">
      <c r="A10" s="58" t="s">
        <v>224</v>
      </c>
      <c r="B10" s="57" t="s">
        <v>225</v>
      </c>
      <c r="C10" s="16"/>
      <c r="D10" s="16"/>
      <c r="E10" s="16"/>
      <c r="F10" s="5"/>
      <c r="G10" s="37"/>
      <c r="H10" s="37"/>
      <c r="I10" s="37"/>
      <c r="J10" s="37"/>
      <c r="K10" s="37"/>
      <c r="L10" s="37"/>
      <c r="M10" s="37"/>
      <c r="N10" s="37"/>
      <c r="O10" s="37"/>
      <c r="P10" s="37"/>
      <c r="Q10" s="37"/>
      <c r="R10" s="37"/>
      <c r="S10" s="37"/>
      <c r="T10" s="37"/>
      <c r="U10" s="37"/>
      <c r="V10" s="37"/>
      <c r="W10" s="37"/>
      <c r="X10" s="37"/>
      <c r="Y10" s="37"/>
      <c r="Z10" s="37"/>
    </row>
    <row r="11">
      <c r="A11" s="55" t="s">
        <v>242</v>
      </c>
      <c r="B11" s="57" t="s">
        <v>243</v>
      </c>
      <c r="C11" s="16"/>
      <c r="D11" s="16"/>
      <c r="E11" s="16"/>
      <c r="F11" s="5"/>
      <c r="G11" s="37"/>
      <c r="H11" s="37"/>
      <c r="I11" s="37"/>
      <c r="J11" s="37"/>
      <c r="K11" s="37"/>
      <c r="L11" s="37"/>
      <c r="M11" s="37"/>
      <c r="N11" s="37"/>
      <c r="O11" s="37"/>
      <c r="P11" s="37"/>
      <c r="Q11" s="37"/>
      <c r="R11" s="37"/>
      <c r="S11" s="37"/>
      <c r="T11" s="37"/>
      <c r="U11" s="37"/>
      <c r="V11" s="37"/>
      <c r="W11" s="37"/>
      <c r="X11" s="37"/>
      <c r="Y11" s="37"/>
      <c r="Z11" s="37"/>
    </row>
    <row r="12">
      <c r="A12" s="58" t="s">
        <v>267</v>
      </c>
      <c r="B12" s="67" t="s">
        <v>269</v>
      </c>
      <c r="C12" s="16"/>
      <c r="D12" s="16"/>
      <c r="E12" s="16"/>
      <c r="F12" s="5"/>
      <c r="G12" s="37"/>
      <c r="H12" s="37"/>
      <c r="I12" s="37"/>
      <c r="J12" s="37"/>
      <c r="K12" s="37"/>
      <c r="L12" s="37"/>
      <c r="M12" s="37"/>
      <c r="N12" s="37"/>
      <c r="O12" s="37"/>
      <c r="P12" s="37"/>
      <c r="Q12" s="37"/>
      <c r="R12" s="37"/>
      <c r="S12" s="37"/>
      <c r="T12" s="37"/>
      <c r="U12" s="37"/>
      <c r="V12" s="37"/>
      <c r="W12" s="37"/>
      <c r="X12" s="37"/>
      <c r="Y12" s="37"/>
      <c r="Z12" s="37"/>
    </row>
    <row r="13">
      <c r="A13" s="58" t="s">
        <v>274</v>
      </c>
      <c r="B13" s="67" t="s">
        <v>269</v>
      </c>
      <c r="C13" s="16"/>
      <c r="D13" s="16"/>
      <c r="E13" s="16"/>
      <c r="F13" s="5"/>
      <c r="G13" s="37"/>
      <c r="H13" s="37"/>
      <c r="I13" s="37"/>
      <c r="J13" s="37"/>
      <c r="K13" s="37"/>
      <c r="L13" s="37"/>
      <c r="M13" s="37"/>
      <c r="N13" s="37"/>
      <c r="O13" s="37"/>
      <c r="P13" s="37"/>
      <c r="Q13" s="37"/>
      <c r="R13" s="37"/>
      <c r="S13" s="37"/>
      <c r="T13" s="37"/>
      <c r="U13" s="37"/>
      <c r="V13" s="37"/>
      <c r="W13" s="37"/>
      <c r="X13" s="37"/>
      <c r="Y13" s="37"/>
      <c r="Z13" s="37"/>
    </row>
    <row r="14">
      <c r="A14" s="58" t="s">
        <v>279</v>
      </c>
      <c r="B14" s="67" t="s">
        <v>269</v>
      </c>
      <c r="C14" s="16"/>
      <c r="D14" s="16"/>
      <c r="E14" s="16"/>
      <c r="F14" s="5"/>
      <c r="G14" s="37"/>
      <c r="H14" s="37"/>
      <c r="I14" s="37"/>
      <c r="J14" s="37"/>
      <c r="K14" s="37"/>
      <c r="L14" s="37"/>
      <c r="M14" s="37"/>
      <c r="N14" s="37"/>
      <c r="O14" s="37"/>
      <c r="P14" s="37"/>
      <c r="Q14" s="37"/>
      <c r="R14" s="37"/>
      <c r="S14" s="37"/>
      <c r="T14" s="37"/>
      <c r="U14" s="37"/>
      <c r="V14" s="37"/>
      <c r="W14" s="37"/>
      <c r="X14" s="37"/>
      <c r="Y14" s="37"/>
      <c r="Z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c r="A17" s="70" t="s">
        <v>288</v>
      </c>
      <c r="B17" s="16"/>
      <c r="C17" s="16"/>
      <c r="D17" s="16"/>
      <c r="E17" s="16"/>
      <c r="F17" s="5"/>
      <c r="G17" s="37"/>
      <c r="H17" s="37"/>
      <c r="I17" s="37"/>
      <c r="J17" s="37"/>
      <c r="K17" s="37"/>
      <c r="L17" s="37"/>
      <c r="M17" s="37"/>
      <c r="N17" s="37"/>
      <c r="O17" s="37"/>
      <c r="P17" s="37"/>
      <c r="Q17" s="37"/>
      <c r="R17" s="37"/>
      <c r="S17" s="37"/>
      <c r="T17" s="37"/>
      <c r="U17" s="37"/>
      <c r="V17" s="37"/>
      <c r="W17" s="37"/>
      <c r="X17" s="37"/>
      <c r="Y17" s="37"/>
      <c r="Z17" s="37"/>
    </row>
    <row r="18">
      <c r="A18" s="71" t="s">
        <v>298</v>
      </c>
      <c r="B18" s="72" t="s">
        <v>300</v>
      </c>
      <c r="C18" s="16"/>
      <c r="D18" s="16"/>
      <c r="E18" s="16"/>
      <c r="F18" s="5"/>
      <c r="G18" s="37"/>
      <c r="H18" s="37"/>
      <c r="I18" s="37"/>
      <c r="J18" s="37"/>
      <c r="K18" s="37"/>
      <c r="L18" s="37"/>
      <c r="M18" s="37"/>
      <c r="N18" s="37"/>
      <c r="O18" s="37"/>
      <c r="P18" s="37"/>
      <c r="Q18" s="37"/>
      <c r="R18" s="37"/>
      <c r="S18" s="37"/>
      <c r="T18" s="37"/>
      <c r="U18" s="37"/>
      <c r="V18" s="37"/>
      <c r="W18" s="37"/>
      <c r="X18" s="37"/>
      <c r="Y18" s="37"/>
      <c r="Z18" s="37"/>
    </row>
    <row r="19">
      <c r="A19" s="71" t="s">
        <v>302</v>
      </c>
      <c r="B19" s="72" t="s">
        <v>304</v>
      </c>
      <c r="C19" s="16"/>
      <c r="D19" s="16"/>
      <c r="E19" s="16"/>
      <c r="F19" s="5"/>
      <c r="G19" s="37"/>
      <c r="H19" s="37"/>
      <c r="I19" s="37"/>
      <c r="J19" s="37"/>
      <c r="K19" s="37"/>
      <c r="L19" s="37"/>
      <c r="M19" s="37"/>
      <c r="N19" s="37"/>
      <c r="O19" s="37"/>
      <c r="P19" s="37"/>
      <c r="Q19" s="37"/>
      <c r="R19" s="37"/>
      <c r="S19" s="37"/>
      <c r="T19" s="37"/>
      <c r="U19" s="37"/>
      <c r="V19" s="37"/>
      <c r="W19" s="37"/>
      <c r="X19" s="37"/>
      <c r="Y19" s="37"/>
      <c r="Z19" s="37"/>
    </row>
    <row r="20">
      <c r="A20" s="74" t="s">
        <v>306</v>
      </c>
      <c r="B20" s="72" t="s">
        <v>307</v>
      </c>
      <c r="C20" s="16"/>
      <c r="D20" s="16"/>
      <c r="E20" s="16"/>
      <c r="F20" s="5"/>
      <c r="G20" s="37"/>
      <c r="H20" s="37"/>
      <c r="I20" s="37"/>
      <c r="J20" s="37"/>
      <c r="K20" s="37"/>
      <c r="L20" s="37"/>
      <c r="M20" s="37"/>
      <c r="N20" s="37"/>
      <c r="O20" s="37"/>
      <c r="P20" s="37"/>
      <c r="Q20" s="37"/>
      <c r="R20" s="37"/>
      <c r="S20" s="37"/>
      <c r="T20" s="37"/>
      <c r="U20" s="37"/>
      <c r="V20" s="37"/>
      <c r="W20" s="37"/>
      <c r="X20" s="37"/>
      <c r="Y20" s="37"/>
      <c r="Z20" s="37"/>
    </row>
    <row r="21">
      <c r="A21" s="76" t="s">
        <v>310</v>
      </c>
      <c r="B21" s="72" t="s">
        <v>311</v>
      </c>
      <c r="C21" s="16"/>
      <c r="D21" s="16"/>
      <c r="E21" s="16"/>
      <c r="F21" s="5"/>
      <c r="G21" s="37"/>
      <c r="H21" s="37"/>
      <c r="I21" s="37"/>
      <c r="J21" s="37"/>
      <c r="K21" s="37"/>
      <c r="L21" s="37"/>
      <c r="M21" s="37"/>
      <c r="N21" s="37"/>
      <c r="O21" s="37"/>
      <c r="P21" s="37"/>
      <c r="Q21" s="37"/>
      <c r="R21" s="37"/>
      <c r="S21" s="37"/>
      <c r="T21" s="37"/>
      <c r="U21" s="37"/>
      <c r="V21" s="37"/>
      <c r="W21" s="37"/>
      <c r="X21" s="37"/>
      <c r="Y21" s="37"/>
      <c r="Z21" s="37"/>
    </row>
    <row r="22">
      <c r="A22" s="71" t="s">
        <v>321</v>
      </c>
      <c r="B22" s="72" t="s">
        <v>322</v>
      </c>
      <c r="C22" s="16"/>
      <c r="D22" s="16"/>
      <c r="E22" s="16"/>
      <c r="F22" s="5"/>
      <c r="G22" s="37"/>
      <c r="H22" s="37"/>
      <c r="I22" s="37"/>
      <c r="J22" s="37"/>
      <c r="K22" s="37"/>
      <c r="L22" s="37"/>
      <c r="M22" s="37"/>
      <c r="N22" s="37"/>
      <c r="O22" s="37"/>
      <c r="P22" s="37"/>
      <c r="Q22" s="37"/>
      <c r="R22" s="37"/>
      <c r="S22" s="37"/>
      <c r="T22" s="37"/>
      <c r="U22" s="37"/>
      <c r="V22" s="37"/>
      <c r="W22" s="37"/>
      <c r="X22" s="37"/>
      <c r="Y22" s="37"/>
      <c r="Z22" s="37"/>
    </row>
    <row r="23">
      <c r="A23" s="71" t="s">
        <v>338</v>
      </c>
      <c r="B23" s="72" t="s">
        <v>340</v>
      </c>
      <c r="C23" s="16"/>
      <c r="D23" s="16"/>
      <c r="E23" s="16"/>
      <c r="F23" s="5"/>
      <c r="G23" s="37"/>
      <c r="H23" s="37"/>
      <c r="I23" s="37"/>
      <c r="J23" s="37"/>
      <c r="K23" s="37"/>
      <c r="L23" s="37"/>
      <c r="M23" s="37"/>
      <c r="N23" s="37"/>
      <c r="O23" s="37"/>
      <c r="P23" s="37"/>
      <c r="Q23" s="37"/>
      <c r="R23" s="37"/>
      <c r="S23" s="37"/>
      <c r="T23" s="37"/>
      <c r="U23" s="37"/>
      <c r="V23" s="37"/>
      <c r="W23" s="37"/>
      <c r="X23" s="37"/>
      <c r="Y23" s="37"/>
      <c r="Z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c r="A26" s="82" t="s">
        <v>346</v>
      </c>
      <c r="B26" s="16"/>
      <c r="C26" s="16"/>
      <c r="D26" s="16"/>
      <c r="E26" s="16"/>
      <c r="F26" s="5"/>
      <c r="G26" s="37"/>
      <c r="H26" s="37"/>
      <c r="I26" s="37"/>
      <c r="J26" s="37"/>
      <c r="K26" s="37"/>
      <c r="L26" s="37"/>
      <c r="M26" s="37"/>
      <c r="N26" s="37"/>
      <c r="O26" s="37"/>
      <c r="P26" s="37"/>
      <c r="Q26" s="37"/>
      <c r="R26" s="37"/>
      <c r="S26" s="37"/>
      <c r="T26" s="37"/>
      <c r="U26" s="37"/>
      <c r="V26" s="37"/>
      <c r="W26" s="37"/>
      <c r="X26" s="37"/>
      <c r="Y26" s="37"/>
      <c r="Z26" s="37"/>
    </row>
    <row r="27">
      <c r="A27" s="84" t="s">
        <v>349</v>
      </c>
      <c r="B27" s="53" t="s">
        <v>142</v>
      </c>
      <c r="C27" s="53" t="s">
        <v>148</v>
      </c>
      <c r="D27" s="53" t="s">
        <v>150</v>
      </c>
      <c r="E27" s="53" t="s">
        <v>152</v>
      </c>
      <c r="F27" s="53" t="s">
        <v>153</v>
      </c>
      <c r="G27" s="37"/>
      <c r="H27" s="37"/>
      <c r="I27" s="37"/>
      <c r="J27" s="37"/>
      <c r="K27" s="37"/>
      <c r="L27" s="37"/>
      <c r="M27" s="37"/>
      <c r="N27" s="37"/>
      <c r="O27" s="37"/>
      <c r="P27" s="37"/>
      <c r="Q27" s="37"/>
      <c r="R27" s="37"/>
      <c r="S27" s="37"/>
      <c r="T27" s="37"/>
      <c r="U27" s="37"/>
      <c r="V27" s="37"/>
      <c r="W27" s="37"/>
      <c r="X27" s="37"/>
      <c r="Y27" s="37"/>
      <c r="Z27" s="37"/>
    </row>
    <row r="28">
      <c r="A28" s="58" t="s">
        <v>352</v>
      </c>
      <c r="B28" s="86" t="s">
        <v>354</v>
      </c>
      <c r="C28" s="86">
        <v>8.6</v>
      </c>
      <c r="D28" s="86">
        <v>42.2</v>
      </c>
      <c r="E28" s="86">
        <v>32.3</v>
      </c>
      <c r="F28" s="86">
        <v>49.8</v>
      </c>
      <c r="G28" s="37"/>
      <c r="H28" s="37"/>
      <c r="I28" s="37"/>
      <c r="J28" s="37"/>
      <c r="K28" s="37"/>
      <c r="L28" s="37"/>
      <c r="M28" s="37"/>
      <c r="N28" s="37"/>
      <c r="O28" s="37"/>
      <c r="P28" s="37"/>
      <c r="Q28" s="37"/>
      <c r="R28" s="37"/>
      <c r="S28" s="37"/>
      <c r="T28" s="37"/>
      <c r="U28" s="37"/>
      <c r="V28" s="37"/>
      <c r="W28" s="37"/>
      <c r="X28" s="37"/>
      <c r="Y28" s="37"/>
      <c r="Z28" s="37"/>
    </row>
    <row r="29">
      <c r="A29" s="58" t="s">
        <v>358</v>
      </c>
      <c r="B29" s="86" t="s">
        <v>359</v>
      </c>
      <c r="C29" s="87">
        <v>0.0371</v>
      </c>
      <c r="D29" s="87">
        <v>0.3709</v>
      </c>
      <c r="E29" s="87">
        <v>0.2836</v>
      </c>
      <c r="F29" s="87">
        <v>0.0374</v>
      </c>
      <c r="G29" s="37"/>
      <c r="H29" s="37"/>
      <c r="I29" s="37"/>
      <c r="J29" s="37"/>
      <c r="K29" s="37"/>
      <c r="L29" s="37"/>
      <c r="M29" s="37"/>
      <c r="N29" s="37"/>
      <c r="O29" s="37"/>
      <c r="P29" s="37"/>
      <c r="Q29" s="37"/>
      <c r="R29" s="37"/>
      <c r="S29" s="37"/>
      <c r="T29" s="37"/>
      <c r="U29" s="37"/>
      <c r="V29" s="37"/>
      <c r="W29" s="37"/>
      <c r="X29" s="37"/>
      <c r="Y29" s="37"/>
      <c r="Z29" s="37"/>
    </row>
    <row r="30">
      <c r="A30" s="58" t="s">
        <v>366</v>
      </c>
      <c r="B30" s="86" t="s">
        <v>359</v>
      </c>
      <c r="C30" s="88">
        <v>0.0315</v>
      </c>
      <c r="D30" s="88">
        <v>0.3353</v>
      </c>
      <c r="E30" s="88">
        <v>0.2719</v>
      </c>
      <c r="F30" s="88">
        <v>0.0132</v>
      </c>
      <c r="G30" s="37"/>
      <c r="H30" s="37"/>
      <c r="I30" s="37"/>
      <c r="J30" s="37"/>
      <c r="K30" s="37"/>
      <c r="L30" s="37"/>
      <c r="M30" s="37"/>
      <c r="N30" s="37"/>
      <c r="O30" s="37"/>
      <c r="P30" s="37"/>
      <c r="Q30" s="37"/>
      <c r="R30" s="37"/>
      <c r="S30" s="37"/>
      <c r="T30" s="37"/>
      <c r="U30" s="37"/>
      <c r="V30" s="37"/>
      <c r="W30" s="37"/>
      <c r="X30" s="37"/>
      <c r="Y30" s="37"/>
      <c r="Z30" s="37"/>
    </row>
    <row r="31">
      <c r="A31" s="58" t="s">
        <v>368</v>
      </c>
      <c r="B31" s="86" t="s">
        <v>359</v>
      </c>
      <c r="C31" s="88">
        <v>0.1185</v>
      </c>
      <c r="D31" s="88">
        <v>0.222</v>
      </c>
      <c r="E31" s="88">
        <v>0.2243</v>
      </c>
      <c r="F31" s="88">
        <v>0.1501</v>
      </c>
      <c r="G31" s="37"/>
      <c r="H31" s="37"/>
      <c r="I31" s="37"/>
      <c r="J31" s="37"/>
      <c r="K31" s="37"/>
      <c r="L31" s="37"/>
      <c r="M31" s="37"/>
      <c r="N31" s="37"/>
      <c r="O31" s="37"/>
      <c r="P31" s="37"/>
      <c r="Q31" s="37"/>
      <c r="R31" s="37"/>
      <c r="S31" s="37"/>
      <c r="T31" s="37"/>
      <c r="U31" s="37"/>
      <c r="V31" s="37"/>
      <c r="W31" s="37"/>
      <c r="X31" s="37"/>
      <c r="Y31" s="37"/>
      <c r="Z31" s="37"/>
    </row>
    <row r="32">
      <c r="A32" s="58" t="s">
        <v>369</v>
      </c>
      <c r="B32" s="90" t="s">
        <v>359</v>
      </c>
      <c r="C32" s="88">
        <v>0.1361</v>
      </c>
      <c r="D32" s="88">
        <v>0.2009</v>
      </c>
      <c r="E32" s="88">
        <v>0.1995</v>
      </c>
      <c r="F32" s="88">
        <v>0.1487</v>
      </c>
      <c r="G32" s="37"/>
      <c r="H32" s="37"/>
      <c r="I32" s="37"/>
      <c r="J32" s="37"/>
      <c r="K32" s="37"/>
      <c r="L32" s="37"/>
      <c r="M32" s="37"/>
      <c r="N32" s="37"/>
      <c r="O32" s="37"/>
      <c r="P32" s="37"/>
      <c r="Q32" s="37"/>
      <c r="R32" s="37"/>
      <c r="S32" s="37"/>
      <c r="T32" s="37"/>
      <c r="U32" s="37"/>
      <c r="V32" s="37"/>
      <c r="W32" s="37"/>
      <c r="X32" s="37"/>
      <c r="Y32" s="37"/>
      <c r="Z32" s="37"/>
    </row>
    <row r="33">
      <c r="A33" s="91"/>
      <c r="B33" s="91"/>
      <c r="C33" s="91"/>
      <c r="D33" s="91"/>
      <c r="E33" s="91"/>
      <c r="F33" s="91"/>
      <c r="G33" s="37"/>
      <c r="H33" s="37"/>
      <c r="I33" s="37"/>
      <c r="J33" s="37"/>
      <c r="K33" s="37"/>
      <c r="L33" s="37"/>
      <c r="M33" s="37"/>
      <c r="N33" s="37"/>
      <c r="O33" s="37"/>
      <c r="P33" s="37"/>
      <c r="Q33" s="37"/>
      <c r="R33" s="37"/>
      <c r="S33" s="37"/>
      <c r="T33" s="37"/>
      <c r="U33" s="37"/>
      <c r="V33" s="37"/>
      <c r="W33" s="37"/>
      <c r="X33" s="37"/>
      <c r="Y33" s="37"/>
      <c r="Z33" s="37"/>
    </row>
    <row r="34">
      <c r="A34" s="91"/>
      <c r="B34" s="91"/>
      <c r="C34" s="91"/>
      <c r="D34" s="91"/>
      <c r="E34" s="91"/>
      <c r="F34" s="91"/>
      <c r="G34" s="37"/>
      <c r="H34" s="37"/>
      <c r="I34" s="37"/>
      <c r="J34" s="37"/>
      <c r="K34" s="37"/>
      <c r="L34" s="37"/>
      <c r="M34" s="37"/>
      <c r="N34" s="37"/>
      <c r="O34" s="37"/>
      <c r="P34" s="37"/>
      <c r="Q34" s="37"/>
      <c r="R34" s="37"/>
      <c r="S34" s="37"/>
      <c r="T34" s="37"/>
      <c r="U34" s="37"/>
      <c r="V34" s="37"/>
      <c r="W34" s="37"/>
      <c r="X34" s="37"/>
      <c r="Y34" s="37"/>
      <c r="Z34" s="37"/>
    </row>
    <row r="35">
      <c r="A35" s="82" t="s">
        <v>375</v>
      </c>
      <c r="B35" s="16"/>
      <c r="C35" s="16"/>
      <c r="D35" s="16"/>
      <c r="E35" s="16"/>
      <c r="F35" s="5"/>
      <c r="G35" s="37"/>
      <c r="H35" s="37"/>
      <c r="I35" s="37"/>
      <c r="J35" s="37"/>
      <c r="K35" s="37"/>
      <c r="L35" s="37"/>
      <c r="M35" s="37"/>
      <c r="N35" s="37"/>
      <c r="O35" s="37"/>
      <c r="P35" s="37"/>
      <c r="Q35" s="37"/>
      <c r="R35" s="37"/>
      <c r="S35" s="37"/>
      <c r="T35" s="37"/>
      <c r="U35" s="37"/>
      <c r="V35" s="37"/>
      <c r="W35" s="37"/>
      <c r="X35" s="37"/>
      <c r="Y35" s="37"/>
      <c r="Z35" s="37"/>
    </row>
    <row r="36">
      <c r="A36" s="94" t="s">
        <v>349</v>
      </c>
      <c r="B36" s="53" t="s">
        <v>142</v>
      </c>
      <c r="C36" s="53" t="s">
        <v>148</v>
      </c>
      <c r="D36" s="53" t="s">
        <v>150</v>
      </c>
      <c r="E36" s="53" t="s">
        <v>152</v>
      </c>
      <c r="F36" s="53" t="s">
        <v>153</v>
      </c>
      <c r="G36" s="37"/>
      <c r="H36" s="37"/>
      <c r="I36" s="37"/>
      <c r="J36" s="37"/>
      <c r="K36" s="37"/>
      <c r="L36" s="37"/>
      <c r="M36" s="37"/>
      <c r="N36" s="37"/>
      <c r="O36" s="37"/>
      <c r="P36" s="37"/>
      <c r="Q36" s="37"/>
      <c r="R36" s="37"/>
      <c r="S36" s="37"/>
      <c r="T36" s="37"/>
      <c r="U36" s="37"/>
      <c r="V36" s="37"/>
      <c r="W36" s="37"/>
      <c r="X36" s="37"/>
      <c r="Y36" s="37"/>
      <c r="Z36" s="37"/>
    </row>
    <row r="37">
      <c r="A37" s="95" t="s">
        <v>384</v>
      </c>
      <c r="B37" s="96">
        <v>33734.67</v>
      </c>
      <c r="C37" s="96">
        <v>34448.89</v>
      </c>
      <c r="D37" s="96">
        <v>47279.41</v>
      </c>
      <c r="E37" s="96">
        <v>59353.28</v>
      </c>
      <c r="F37" s="96">
        <v>60355.42</v>
      </c>
      <c r="G37" s="37"/>
      <c r="H37" s="37"/>
      <c r="I37" s="37"/>
      <c r="J37" s="37"/>
      <c r="K37" s="37"/>
      <c r="L37" s="37"/>
      <c r="M37" s="37"/>
      <c r="N37" s="37"/>
      <c r="O37" s="37"/>
      <c r="P37" s="37"/>
      <c r="Q37" s="37"/>
      <c r="R37" s="37"/>
      <c r="S37" s="37"/>
      <c r="T37" s="37"/>
      <c r="U37" s="37"/>
      <c r="V37" s="37"/>
      <c r="W37" s="37"/>
      <c r="X37" s="37"/>
      <c r="Y37" s="37"/>
      <c r="Z37" s="37"/>
    </row>
    <row r="38">
      <c r="A38" s="95" t="s">
        <v>394</v>
      </c>
      <c r="B38" s="96">
        <v>0.82</v>
      </c>
      <c r="C38" s="95">
        <v>0.55</v>
      </c>
      <c r="D38" s="96">
        <v>1.73</v>
      </c>
      <c r="E38" s="96">
        <v>5.48</v>
      </c>
      <c r="F38" s="87">
        <v>13.82</v>
      </c>
      <c r="G38" s="37"/>
      <c r="H38" s="37"/>
      <c r="I38" s="37"/>
      <c r="J38" s="37"/>
      <c r="K38" s="37"/>
      <c r="L38" s="37"/>
      <c r="M38" s="37"/>
      <c r="N38" s="37"/>
      <c r="O38" s="37"/>
      <c r="P38" s="37"/>
      <c r="Q38" s="37"/>
      <c r="R38" s="37"/>
      <c r="S38" s="37"/>
      <c r="T38" s="37"/>
      <c r="U38" s="37"/>
      <c r="V38" s="37"/>
      <c r="W38" s="37"/>
      <c r="X38" s="37"/>
      <c r="Y38" s="37"/>
      <c r="Z38" s="37"/>
    </row>
    <row r="39">
      <c r="A39" s="95" t="s">
        <v>399</v>
      </c>
      <c r="B39" s="96">
        <v>1010.02</v>
      </c>
      <c r="C39" s="96">
        <v>1586.33</v>
      </c>
      <c r="D39" s="96">
        <v>2121.89</v>
      </c>
      <c r="E39" s="96">
        <v>4055.49</v>
      </c>
      <c r="F39" s="96">
        <v>5416.69</v>
      </c>
      <c r="G39" s="37"/>
      <c r="H39" s="37"/>
      <c r="I39" s="37"/>
      <c r="J39" s="37"/>
      <c r="K39" s="37"/>
      <c r="L39" s="37"/>
      <c r="M39" s="37"/>
      <c r="N39" s="37"/>
      <c r="O39" s="37"/>
      <c r="P39" s="37"/>
      <c r="Q39" s="37"/>
      <c r="R39" s="37"/>
      <c r="S39" s="37"/>
      <c r="T39" s="37"/>
      <c r="U39" s="37"/>
      <c r="V39" s="37"/>
      <c r="W39" s="37"/>
      <c r="X39" s="37"/>
      <c r="Y39" s="37"/>
      <c r="Z39" s="37"/>
    </row>
    <row r="40">
      <c r="A40" s="95" t="s">
        <v>402</v>
      </c>
      <c r="B40" s="96">
        <v>34745.51</v>
      </c>
      <c r="C40" s="96">
        <v>36035.77</v>
      </c>
      <c r="D40" s="96">
        <v>49403.03</v>
      </c>
      <c r="E40" s="96">
        <v>63414.25</v>
      </c>
      <c r="F40" s="96">
        <v>65785.93</v>
      </c>
      <c r="G40" s="97" t="s">
        <v>403</v>
      </c>
      <c r="H40" s="37"/>
      <c r="I40" s="37"/>
      <c r="J40" s="37"/>
      <c r="K40" s="37"/>
      <c r="L40" s="37"/>
      <c r="M40" s="37"/>
      <c r="N40" s="37"/>
      <c r="O40" s="37"/>
      <c r="P40" s="37"/>
      <c r="Q40" s="37"/>
      <c r="R40" s="37"/>
      <c r="S40" s="37"/>
      <c r="T40" s="37"/>
      <c r="U40" s="37"/>
      <c r="V40" s="37"/>
      <c r="W40" s="37"/>
      <c r="X40" s="37"/>
      <c r="Y40" s="37"/>
      <c r="Z40" s="37"/>
    </row>
    <row r="41">
      <c r="A41" s="98" t="s">
        <v>358</v>
      </c>
      <c r="B41" s="99" t="s">
        <v>359</v>
      </c>
      <c r="C41" s="100">
        <v>0.0371</v>
      </c>
      <c r="D41" s="100">
        <v>0.3709</v>
      </c>
      <c r="E41" s="100">
        <v>0.2836</v>
      </c>
      <c r="F41" s="100">
        <v>0.0374</v>
      </c>
      <c r="G41" s="37"/>
      <c r="H41" s="37"/>
      <c r="I41" s="37"/>
      <c r="J41" s="37"/>
      <c r="K41" s="37"/>
      <c r="L41" s="37"/>
      <c r="M41" s="37"/>
      <c r="N41" s="37"/>
      <c r="O41" s="37"/>
      <c r="P41" s="37"/>
      <c r="Q41" s="37"/>
      <c r="R41" s="37"/>
      <c r="S41" s="37"/>
      <c r="T41" s="37"/>
      <c r="U41" s="37"/>
      <c r="V41" s="37"/>
      <c r="W41" s="37"/>
      <c r="X41" s="37"/>
      <c r="Y41" s="37"/>
      <c r="Z41" s="37"/>
    </row>
    <row r="42">
      <c r="A42" s="86" t="s">
        <v>406</v>
      </c>
      <c r="B42" s="90">
        <v>26376.24</v>
      </c>
      <c r="C42" s="90">
        <v>27208.17</v>
      </c>
      <c r="D42" s="90">
        <v>36331.92</v>
      </c>
      <c r="E42" s="90">
        <v>46209.55</v>
      </c>
      <c r="F42" s="90">
        <v>46820.95</v>
      </c>
      <c r="G42" s="37"/>
      <c r="H42" s="37"/>
      <c r="I42" s="37"/>
      <c r="J42" s="37"/>
      <c r="K42" s="37"/>
      <c r="L42" s="37"/>
      <c r="M42" s="37"/>
      <c r="N42" s="37"/>
      <c r="O42" s="37"/>
      <c r="P42" s="37"/>
      <c r="Q42" s="37"/>
      <c r="R42" s="37"/>
      <c r="S42" s="37"/>
      <c r="T42" s="37"/>
      <c r="U42" s="37"/>
      <c r="V42" s="37"/>
      <c r="W42" s="37"/>
      <c r="X42" s="37"/>
      <c r="Y42" s="37"/>
      <c r="Z42" s="37"/>
    </row>
    <row r="43">
      <c r="A43" s="98" t="s">
        <v>408</v>
      </c>
      <c r="B43" s="98" t="s">
        <v>359</v>
      </c>
      <c r="C43" s="102">
        <v>0.0315</v>
      </c>
      <c r="D43" s="102">
        <v>0.3353</v>
      </c>
      <c r="E43" s="102">
        <v>0.2719</v>
      </c>
      <c r="F43" s="102">
        <v>0.0132</v>
      </c>
      <c r="G43" s="103"/>
      <c r="H43" s="103"/>
      <c r="I43" s="103"/>
      <c r="J43" s="103"/>
      <c r="K43" s="103"/>
      <c r="L43" s="103"/>
      <c r="M43" s="103"/>
      <c r="N43" s="103"/>
      <c r="O43" s="103"/>
      <c r="P43" s="103"/>
      <c r="Q43" s="103"/>
      <c r="R43" s="103"/>
      <c r="S43" s="103"/>
      <c r="T43" s="103"/>
      <c r="U43" s="103"/>
      <c r="V43" s="103"/>
      <c r="W43" s="103"/>
      <c r="X43" s="103"/>
      <c r="Y43" s="103"/>
      <c r="Z43" s="103"/>
    </row>
    <row r="44">
      <c r="A44" s="86" t="s">
        <v>412</v>
      </c>
      <c r="B44" s="86" t="s">
        <v>413</v>
      </c>
      <c r="C44" s="86" t="s">
        <v>414</v>
      </c>
      <c r="D44" s="86" t="s">
        <v>416</v>
      </c>
      <c r="E44" s="86" t="s">
        <v>418</v>
      </c>
      <c r="F44" s="86" t="s">
        <v>420</v>
      </c>
      <c r="G44" s="37"/>
      <c r="H44" s="37"/>
      <c r="I44" s="37"/>
      <c r="J44" s="37"/>
      <c r="K44" s="37"/>
      <c r="L44" s="37"/>
      <c r="M44" s="37"/>
      <c r="N44" s="37"/>
      <c r="O44" s="37"/>
      <c r="P44" s="37"/>
      <c r="Q44" s="37"/>
      <c r="R44" s="37"/>
      <c r="S44" s="37"/>
      <c r="T44" s="37"/>
      <c r="U44" s="37"/>
      <c r="V44" s="37"/>
      <c r="W44" s="37"/>
      <c r="X44" s="37"/>
      <c r="Y44" s="37"/>
      <c r="Z44" s="37"/>
    </row>
    <row r="45">
      <c r="A45" s="98" t="s">
        <v>422</v>
      </c>
      <c r="B45" s="98" t="s">
        <v>359</v>
      </c>
      <c r="C45" s="102">
        <v>0.1185</v>
      </c>
      <c r="D45" s="102">
        <v>0.222</v>
      </c>
      <c r="E45" s="102">
        <v>0.2243</v>
      </c>
      <c r="F45" s="102">
        <v>0.1501</v>
      </c>
      <c r="G45" s="103"/>
      <c r="H45" s="103"/>
      <c r="I45" s="103"/>
      <c r="J45" s="103"/>
      <c r="K45" s="103"/>
      <c r="L45" s="103"/>
      <c r="M45" s="103"/>
      <c r="N45" s="103"/>
      <c r="O45" s="103"/>
      <c r="P45" s="103"/>
      <c r="Q45" s="103"/>
      <c r="R45" s="103"/>
      <c r="S45" s="103"/>
      <c r="T45" s="103"/>
      <c r="U45" s="103"/>
      <c r="V45" s="103"/>
      <c r="W45" s="103"/>
      <c r="X45" s="103"/>
      <c r="Y45" s="103"/>
      <c r="Z45" s="103"/>
    </row>
    <row r="46">
      <c r="A46" s="86" t="s">
        <v>424</v>
      </c>
      <c r="B46" s="90">
        <v>85012.69</v>
      </c>
      <c r="C46" s="90">
        <v>96585.54</v>
      </c>
      <c r="D46" s="86" t="s">
        <v>425</v>
      </c>
      <c r="E46" s="86" t="s">
        <v>426</v>
      </c>
      <c r="F46" s="86" t="s">
        <v>427</v>
      </c>
      <c r="G46" s="37"/>
      <c r="H46" s="37"/>
      <c r="I46" s="37"/>
      <c r="J46" s="37"/>
      <c r="K46" s="37"/>
      <c r="L46" s="37"/>
      <c r="M46" s="37"/>
      <c r="N46" s="37"/>
      <c r="O46" s="37"/>
      <c r="P46" s="37"/>
      <c r="Q46" s="37"/>
      <c r="R46" s="37"/>
      <c r="S46" s="37"/>
      <c r="T46" s="37"/>
      <c r="U46" s="37"/>
      <c r="V46" s="37"/>
      <c r="W46" s="37"/>
      <c r="X46" s="37"/>
      <c r="Y46" s="37"/>
      <c r="Z46" s="37"/>
    </row>
    <row r="47">
      <c r="A47" s="98" t="s">
        <v>428</v>
      </c>
      <c r="B47" s="104" t="s">
        <v>359</v>
      </c>
      <c r="C47" s="102">
        <v>0.1361</v>
      </c>
      <c r="D47" s="102">
        <v>0.2009</v>
      </c>
      <c r="E47" s="102">
        <v>0.1995</v>
      </c>
      <c r="F47" s="102">
        <v>0.1487</v>
      </c>
      <c r="G47" s="103"/>
      <c r="H47" s="103"/>
      <c r="I47" s="103"/>
      <c r="J47" s="103"/>
      <c r="K47" s="103"/>
      <c r="L47" s="103"/>
      <c r="M47" s="103"/>
      <c r="N47" s="103"/>
      <c r="O47" s="103"/>
      <c r="P47" s="103"/>
      <c r="Q47" s="103"/>
      <c r="R47" s="103"/>
      <c r="S47" s="103"/>
      <c r="T47" s="103"/>
      <c r="U47" s="103"/>
      <c r="V47" s="103"/>
      <c r="W47" s="103"/>
      <c r="X47" s="103"/>
      <c r="Y47" s="103"/>
      <c r="Z47" s="103"/>
    </row>
    <row r="48">
      <c r="A48" s="86" t="s">
        <v>429</v>
      </c>
      <c r="B48" s="90">
        <v>2409.53</v>
      </c>
      <c r="C48" s="90">
        <v>2775.13</v>
      </c>
      <c r="D48" s="90">
        <v>3766.59</v>
      </c>
      <c r="E48" s="90">
        <v>3071.67</v>
      </c>
      <c r="F48" s="90">
        <v>3128.43</v>
      </c>
      <c r="G48" s="37"/>
      <c r="H48" s="37"/>
      <c r="I48" s="37"/>
      <c r="J48" s="37"/>
      <c r="K48" s="37"/>
      <c r="L48" s="37"/>
      <c r="M48" s="37"/>
      <c r="N48" s="37"/>
      <c r="O48" s="37"/>
      <c r="P48" s="37"/>
      <c r="Q48" s="37"/>
      <c r="R48" s="37"/>
      <c r="S48" s="37"/>
      <c r="T48" s="37"/>
      <c r="U48" s="37"/>
      <c r="V48" s="37"/>
      <c r="W48" s="37"/>
      <c r="X48" s="37"/>
      <c r="Y48" s="37"/>
      <c r="Z48" s="37"/>
    </row>
    <row r="49">
      <c r="A49" s="86" t="s">
        <v>431</v>
      </c>
      <c r="B49" s="90">
        <v>2775.13</v>
      </c>
      <c r="C49" s="90">
        <v>3766.59</v>
      </c>
      <c r="D49" s="90">
        <v>3071.67</v>
      </c>
      <c r="E49" s="90">
        <v>3128.43</v>
      </c>
      <c r="F49" s="90">
        <v>6461.18</v>
      </c>
      <c r="G49" s="37"/>
      <c r="H49" s="37"/>
      <c r="I49" s="37"/>
      <c r="J49" s="37"/>
      <c r="K49" s="37"/>
      <c r="L49" s="37"/>
      <c r="M49" s="37"/>
      <c r="N49" s="37"/>
      <c r="O49" s="37"/>
      <c r="P49" s="37"/>
      <c r="Q49" s="37"/>
      <c r="R49" s="37"/>
      <c r="S49" s="37"/>
      <c r="T49" s="37"/>
      <c r="U49" s="37"/>
      <c r="V49" s="37"/>
      <c r="W49" s="37"/>
      <c r="X49" s="37"/>
      <c r="Y49" s="37"/>
      <c r="Z49" s="37"/>
    </row>
    <row r="50">
      <c r="A50" s="98" t="s">
        <v>432</v>
      </c>
      <c r="B50" s="104">
        <v>2592.33</v>
      </c>
      <c r="C50" s="104">
        <v>3270.86</v>
      </c>
      <c r="D50" s="104">
        <v>3419.13</v>
      </c>
      <c r="E50" s="104">
        <v>3100.05</v>
      </c>
      <c r="F50" s="104">
        <v>4794.81</v>
      </c>
      <c r="G50" s="103"/>
      <c r="H50" s="103"/>
      <c r="I50" s="103"/>
      <c r="J50" s="103"/>
      <c r="K50" s="103"/>
      <c r="L50" s="103"/>
      <c r="M50" s="103"/>
      <c r="N50" s="103"/>
      <c r="O50" s="103"/>
      <c r="P50" s="103"/>
      <c r="Q50" s="103"/>
      <c r="R50" s="103"/>
      <c r="S50" s="103"/>
      <c r="T50" s="103"/>
      <c r="U50" s="103"/>
      <c r="V50" s="103"/>
      <c r="W50" s="103"/>
      <c r="X50" s="103"/>
      <c r="Y50" s="103"/>
      <c r="Z50" s="103"/>
    </row>
    <row r="51">
      <c r="A51" s="86" t="s">
        <v>433</v>
      </c>
      <c r="B51" s="90">
        <v>41480.33</v>
      </c>
      <c r="C51" s="90">
        <v>45059.96</v>
      </c>
      <c r="D51" s="90">
        <v>64095.7</v>
      </c>
      <c r="E51" s="90">
        <v>84820.91</v>
      </c>
      <c r="F51" s="90">
        <v>96045.23</v>
      </c>
      <c r="G51" s="37"/>
      <c r="H51" s="37"/>
      <c r="I51" s="37"/>
      <c r="J51" s="37"/>
      <c r="K51" s="37"/>
      <c r="L51" s="37"/>
      <c r="M51" s="37"/>
      <c r="N51" s="37"/>
      <c r="O51" s="37"/>
      <c r="P51" s="37"/>
      <c r="Q51" s="37"/>
      <c r="R51" s="37"/>
      <c r="S51" s="37"/>
      <c r="T51" s="37"/>
      <c r="U51" s="37"/>
      <c r="V51" s="37"/>
      <c r="W51" s="37"/>
      <c r="X51" s="37"/>
      <c r="Y51" s="37"/>
      <c r="Z51" s="37"/>
    </row>
    <row r="52">
      <c r="A52" s="98" t="s">
        <v>435</v>
      </c>
      <c r="B52" s="98">
        <v>22.82</v>
      </c>
      <c r="C52" s="98">
        <v>26.49</v>
      </c>
      <c r="D52" s="98">
        <v>19.47</v>
      </c>
      <c r="E52" s="98">
        <v>13.35</v>
      </c>
      <c r="F52" s="98">
        <v>18.24</v>
      </c>
      <c r="G52" s="106" t="s">
        <v>440</v>
      </c>
      <c r="H52" s="103"/>
      <c r="I52" s="103"/>
      <c r="J52" s="103"/>
      <c r="K52" s="103"/>
      <c r="L52" s="103"/>
      <c r="M52" s="103"/>
      <c r="N52" s="103"/>
      <c r="O52" s="103"/>
      <c r="P52" s="103"/>
      <c r="Q52" s="103"/>
      <c r="R52" s="103"/>
      <c r="S52" s="103"/>
      <c r="T52" s="103"/>
      <c r="U52" s="103"/>
      <c r="V52" s="103"/>
      <c r="W52" s="103"/>
      <c r="X52" s="103"/>
      <c r="Y52" s="103"/>
      <c r="Z52" s="103"/>
    </row>
    <row r="53">
      <c r="C53" s="107"/>
      <c r="D53" s="107"/>
      <c r="E53" s="107"/>
      <c r="F53" s="107"/>
      <c r="G53" s="108" t="s">
        <v>445</v>
      </c>
      <c r="H53" s="109"/>
      <c r="I53" s="109"/>
      <c r="J53" s="37"/>
      <c r="K53" s="37"/>
      <c r="L53" s="37"/>
      <c r="M53" s="37"/>
      <c r="N53" s="37"/>
      <c r="O53" s="37"/>
      <c r="P53" s="37"/>
      <c r="Q53" s="37"/>
      <c r="R53" s="37"/>
      <c r="S53" s="37"/>
      <c r="T53" s="37"/>
      <c r="U53" s="37"/>
      <c r="V53" s="37"/>
      <c r="W53" s="37"/>
      <c r="X53" s="37"/>
      <c r="Y53" s="37"/>
      <c r="Z53" s="37"/>
    </row>
    <row r="54">
      <c r="C54" s="107"/>
      <c r="D54" s="107"/>
      <c r="E54" s="107"/>
      <c r="F54" s="107"/>
      <c r="G54" s="37"/>
      <c r="H54" s="37"/>
      <c r="I54" s="37"/>
      <c r="J54" s="37"/>
      <c r="K54" s="37"/>
      <c r="L54" s="37"/>
      <c r="M54" s="37"/>
      <c r="N54" s="37"/>
      <c r="O54" s="37"/>
      <c r="P54" s="37"/>
      <c r="Q54" s="37"/>
      <c r="R54" s="37"/>
      <c r="S54" s="37"/>
      <c r="T54" s="37"/>
      <c r="U54" s="37"/>
      <c r="V54" s="37"/>
      <c r="W54" s="37"/>
      <c r="X54" s="37"/>
      <c r="Y54" s="37"/>
      <c r="Z54" s="37"/>
    </row>
    <row r="55">
      <c r="C55" s="107"/>
      <c r="D55" s="107"/>
      <c r="E55" s="107"/>
      <c r="F55" s="107"/>
      <c r="G55" s="37"/>
      <c r="H55" s="37"/>
      <c r="I55" s="37"/>
      <c r="J55" s="37"/>
      <c r="K55" s="37"/>
      <c r="L55" s="37"/>
      <c r="M55" s="37"/>
      <c r="N55" s="37"/>
      <c r="O55" s="37"/>
      <c r="P55" s="37"/>
      <c r="Q55" s="37"/>
      <c r="R55" s="37"/>
      <c r="S55" s="37"/>
      <c r="T55" s="37"/>
      <c r="U55" s="37"/>
      <c r="V55" s="37"/>
      <c r="W55" s="37"/>
      <c r="X55" s="37"/>
      <c r="Y55" s="37"/>
      <c r="Z55" s="37"/>
    </row>
    <row r="56">
      <c r="A56" s="82" t="s">
        <v>456</v>
      </c>
      <c r="B56" s="16"/>
      <c r="C56" s="16"/>
      <c r="D56" s="16"/>
      <c r="E56" s="16"/>
      <c r="F56" s="5"/>
      <c r="G56" s="37"/>
      <c r="H56" s="37"/>
      <c r="I56" s="37"/>
      <c r="J56" s="37"/>
      <c r="K56" s="37"/>
      <c r="L56" s="37"/>
      <c r="M56" s="37"/>
      <c r="N56" s="37"/>
      <c r="O56" s="37"/>
      <c r="P56" s="37"/>
      <c r="Q56" s="37"/>
      <c r="R56" s="37"/>
      <c r="S56" s="37"/>
      <c r="T56" s="37"/>
      <c r="U56" s="37"/>
      <c r="V56" s="37"/>
      <c r="W56" s="37"/>
      <c r="X56" s="37"/>
      <c r="Y56" s="37"/>
      <c r="Z56" s="37"/>
    </row>
    <row r="57">
      <c r="A57" s="71" t="s">
        <v>457</v>
      </c>
      <c r="B57" s="110" t="s">
        <v>458</v>
      </c>
      <c r="C57" s="16"/>
      <c r="D57" s="5"/>
      <c r="E57" s="111"/>
      <c r="G57" s="37"/>
      <c r="H57" s="37"/>
      <c r="I57" s="37"/>
      <c r="J57" s="37"/>
      <c r="K57" s="37"/>
      <c r="L57" s="37"/>
      <c r="M57" s="37"/>
      <c r="N57" s="37"/>
      <c r="O57" s="37"/>
      <c r="P57" s="37"/>
      <c r="Q57" s="37"/>
      <c r="R57" s="37"/>
      <c r="S57" s="37"/>
      <c r="T57" s="37"/>
      <c r="U57" s="37"/>
      <c r="V57" s="37"/>
      <c r="W57" s="37"/>
      <c r="X57" s="37"/>
      <c r="Y57" s="37"/>
      <c r="Z57" s="37"/>
    </row>
    <row r="58">
      <c r="A58" s="71" t="s">
        <v>460</v>
      </c>
      <c r="B58" s="112"/>
      <c r="C58" s="16"/>
      <c r="D58" s="5"/>
      <c r="E58" s="37"/>
      <c r="G58" s="37"/>
      <c r="H58" s="37"/>
      <c r="I58" s="37"/>
      <c r="J58" s="37"/>
      <c r="K58" s="37"/>
      <c r="L58" s="37"/>
      <c r="M58" s="37"/>
      <c r="N58" s="37"/>
      <c r="O58" s="37"/>
      <c r="P58" s="37"/>
      <c r="Q58" s="37"/>
      <c r="R58" s="37"/>
      <c r="S58" s="37"/>
      <c r="T58" s="37"/>
      <c r="U58" s="37"/>
      <c r="V58" s="37"/>
      <c r="W58" s="37"/>
      <c r="X58" s="37"/>
      <c r="Y58" s="37"/>
      <c r="Z58" s="37"/>
    </row>
    <row r="59">
      <c r="A59" s="74" t="s">
        <v>465</v>
      </c>
      <c r="B59" s="72"/>
      <c r="C59" s="16"/>
      <c r="D59" s="5"/>
      <c r="E59" s="37"/>
      <c r="G59" s="37"/>
      <c r="H59" s="37"/>
      <c r="I59" s="37"/>
      <c r="J59" s="37"/>
      <c r="K59" s="37"/>
      <c r="L59" s="37"/>
      <c r="M59" s="37"/>
      <c r="N59" s="37"/>
      <c r="O59" s="37"/>
      <c r="P59" s="37"/>
      <c r="Q59" s="37"/>
      <c r="R59" s="37"/>
      <c r="S59" s="37"/>
      <c r="T59" s="37"/>
      <c r="U59" s="37"/>
      <c r="V59" s="37"/>
      <c r="W59" s="37"/>
      <c r="X59" s="37"/>
      <c r="Y59" s="37"/>
      <c r="Z59" s="37"/>
    </row>
    <row r="60">
      <c r="A60" s="113" t="s">
        <v>468</v>
      </c>
      <c r="B60" s="72" t="s">
        <v>469</v>
      </c>
      <c r="C60" s="16"/>
      <c r="D60" s="5"/>
      <c r="E60" s="37"/>
      <c r="G60" s="37"/>
      <c r="H60" s="37"/>
      <c r="I60" s="37"/>
      <c r="J60" s="37"/>
      <c r="K60" s="37"/>
      <c r="L60" s="37"/>
      <c r="M60" s="37"/>
      <c r="N60" s="37"/>
      <c r="O60" s="37"/>
      <c r="P60" s="37"/>
      <c r="Q60" s="37"/>
      <c r="R60" s="37"/>
      <c r="S60" s="37"/>
      <c r="T60" s="37"/>
      <c r="U60" s="37"/>
      <c r="V60" s="37"/>
      <c r="W60" s="37"/>
      <c r="X60" s="37"/>
      <c r="Y60" s="37"/>
      <c r="Z60" s="37"/>
    </row>
    <row r="61">
      <c r="A61" s="114"/>
      <c r="B61" s="97" t="s">
        <v>474</v>
      </c>
      <c r="C61" s="116"/>
      <c r="D61" s="116"/>
      <c r="E61" s="37"/>
      <c r="F61" s="37"/>
      <c r="G61" s="37"/>
      <c r="H61" s="37"/>
      <c r="I61" s="37"/>
      <c r="J61" s="37"/>
      <c r="K61" s="37"/>
      <c r="L61" s="37"/>
      <c r="M61" s="37"/>
      <c r="N61" s="37"/>
      <c r="O61" s="37"/>
      <c r="P61" s="37"/>
      <c r="Q61" s="37"/>
      <c r="R61" s="37"/>
      <c r="S61" s="37"/>
      <c r="T61" s="37"/>
      <c r="U61" s="37"/>
      <c r="V61" s="37"/>
      <c r="W61" s="37"/>
      <c r="X61" s="37"/>
      <c r="Y61" s="37"/>
      <c r="Z61" s="37"/>
    </row>
    <row r="62">
      <c r="A62" s="44"/>
      <c r="B62" s="118"/>
      <c r="C62" s="16"/>
      <c r="D62" s="5"/>
      <c r="E62" s="37"/>
      <c r="F62" s="37"/>
      <c r="G62" s="37"/>
      <c r="H62" s="37"/>
      <c r="I62" s="37"/>
      <c r="J62" s="37"/>
      <c r="K62" s="37"/>
      <c r="L62" s="37"/>
      <c r="M62" s="37"/>
      <c r="N62" s="37"/>
      <c r="O62" s="37"/>
      <c r="P62" s="37"/>
      <c r="Q62" s="37"/>
      <c r="R62" s="37"/>
      <c r="S62" s="37"/>
      <c r="T62" s="37"/>
      <c r="U62" s="37"/>
      <c r="V62" s="37"/>
      <c r="W62" s="37"/>
      <c r="X62" s="37"/>
      <c r="Y62" s="37"/>
      <c r="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122" t="s">
        <v>499</v>
      </c>
      <c r="B80" s="16"/>
      <c r="C80" s="16"/>
      <c r="D80" s="16"/>
      <c r="E80" s="16"/>
      <c r="F80" s="16"/>
      <c r="G80" s="16"/>
      <c r="H80" s="16"/>
      <c r="I80" s="16"/>
      <c r="J80" s="16"/>
      <c r="K80" s="16"/>
      <c r="L80" s="16"/>
      <c r="M80" s="16"/>
      <c r="N80" s="5"/>
      <c r="O80" s="91"/>
      <c r="P80" s="91"/>
      <c r="Q80" s="91"/>
      <c r="R80" s="91"/>
      <c r="S80" s="91"/>
      <c r="T80" s="91"/>
      <c r="U80" s="91"/>
      <c r="V80" s="91"/>
      <c r="W80" s="91"/>
      <c r="X80" s="91"/>
      <c r="Y80" s="91"/>
      <c r="Z80" s="91"/>
    </row>
    <row r="81">
      <c r="A81" s="53" t="s">
        <v>349</v>
      </c>
      <c r="B81" s="53" t="s">
        <v>142</v>
      </c>
      <c r="C81" s="53" t="s">
        <v>148</v>
      </c>
      <c r="D81" s="53" t="s">
        <v>150</v>
      </c>
      <c r="E81" s="53" t="s">
        <v>152</v>
      </c>
      <c r="F81" s="53" t="s">
        <v>153</v>
      </c>
      <c r="G81" s="53" t="s">
        <v>503</v>
      </c>
      <c r="H81" s="53" t="s">
        <v>505</v>
      </c>
      <c r="I81" s="53" t="s">
        <v>506</v>
      </c>
      <c r="J81" s="53" t="s">
        <v>507</v>
      </c>
      <c r="K81" s="53" t="s">
        <v>508</v>
      </c>
      <c r="L81" s="53" t="s">
        <v>509</v>
      </c>
      <c r="M81" s="53" t="s">
        <v>510</v>
      </c>
      <c r="N81" s="53" t="s">
        <v>511</v>
      </c>
      <c r="O81" s="91"/>
      <c r="P81" s="91"/>
      <c r="Q81" s="91"/>
      <c r="R81" s="91"/>
      <c r="S81" s="91"/>
      <c r="T81" s="91"/>
      <c r="U81" s="91"/>
      <c r="V81" s="91"/>
      <c r="W81" s="91"/>
      <c r="X81" s="91"/>
      <c r="Y81" s="91"/>
      <c r="Z81" s="91"/>
    </row>
    <row r="82">
      <c r="A82" s="123" t="s">
        <v>513</v>
      </c>
      <c r="B82" s="123">
        <v>41480.33</v>
      </c>
      <c r="C82" s="123">
        <v>45059.96</v>
      </c>
      <c r="D82" s="123">
        <v>64095.7</v>
      </c>
      <c r="E82" s="123">
        <v>84820.91</v>
      </c>
      <c r="F82" s="123">
        <v>96045.23</v>
      </c>
      <c r="G82" s="123">
        <v>3579.63</v>
      </c>
      <c r="H82" s="124">
        <v>0.0863</v>
      </c>
      <c r="I82" s="123">
        <v>19035.74</v>
      </c>
      <c r="J82" s="124">
        <v>0.4225</v>
      </c>
      <c r="K82" s="123">
        <v>20725.21</v>
      </c>
      <c r="L82" s="124">
        <v>0.3233</v>
      </c>
      <c r="M82" s="123">
        <v>11224.32</v>
      </c>
      <c r="N82" s="124">
        <v>0.1323</v>
      </c>
      <c r="O82" s="91"/>
      <c r="P82" s="91"/>
      <c r="Q82" s="91"/>
      <c r="R82" s="91"/>
      <c r="S82" s="91"/>
      <c r="T82" s="91"/>
      <c r="U82" s="91"/>
      <c r="V82" s="91"/>
      <c r="W82" s="91"/>
      <c r="X82" s="91"/>
      <c r="Y82" s="91"/>
      <c r="Z82" s="91"/>
    </row>
    <row r="83">
      <c r="A83" s="123" t="s">
        <v>516</v>
      </c>
      <c r="B83" s="123">
        <v>6532.76</v>
      </c>
      <c r="C83" s="123">
        <v>9346.79</v>
      </c>
      <c r="D83" s="123">
        <v>10193.31</v>
      </c>
      <c r="E83" s="123">
        <v>13636.84</v>
      </c>
      <c r="F83" s="123">
        <v>13545.39</v>
      </c>
      <c r="G83" s="123">
        <v>2814.03</v>
      </c>
      <c r="H83" s="124">
        <v>0.4308</v>
      </c>
      <c r="I83" s="123">
        <v>846.52</v>
      </c>
      <c r="J83" s="124">
        <v>0.0906</v>
      </c>
      <c r="K83" s="123">
        <v>3443.53</v>
      </c>
      <c r="L83" s="124">
        <v>0.3378</v>
      </c>
      <c r="M83" s="123">
        <v>-91.45</v>
      </c>
      <c r="N83" s="124">
        <v>-0.0067</v>
      </c>
      <c r="O83" s="91"/>
      <c r="P83" s="91"/>
      <c r="Q83" s="91"/>
      <c r="R83" s="91"/>
      <c r="S83" s="91"/>
      <c r="T83" s="91"/>
      <c r="U83" s="91"/>
      <c r="V83" s="91"/>
      <c r="W83" s="91"/>
      <c r="X83" s="91"/>
      <c r="Y83" s="91"/>
      <c r="Z83" s="91"/>
    </row>
    <row r="84">
      <c r="A84" s="106" t="s">
        <v>519</v>
      </c>
      <c r="B84" s="106">
        <v>48013.09</v>
      </c>
      <c r="C84" s="106">
        <v>54406.75</v>
      </c>
      <c r="D84" s="106">
        <v>74289.01</v>
      </c>
      <c r="E84" s="106">
        <v>98457.75</v>
      </c>
      <c r="F84" s="106">
        <v>109590.62</v>
      </c>
      <c r="G84" s="106">
        <v>6393.66</v>
      </c>
      <c r="H84" s="125">
        <v>0.1332</v>
      </c>
      <c r="I84" s="106">
        <v>19882.26</v>
      </c>
      <c r="J84" s="125">
        <v>0.3654</v>
      </c>
      <c r="K84" s="106">
        <v>24168.74</v>
      </c>
      <c r="L84" s="125">
        <v>0.3253</v>
      </c>
      <c r="M84" s="106">
        <v>11132.87</v>
      </c>
      <c r="N84" s="125">
        <v>0.1131</v>
      </c>
      <c r="O84" s="126"/>
      <c r="P84" s="126"/>
      <c r="Q84" s="126"/>
      <c r="R84" s="126"/>
      <c r="S84" s="126"/>
      <c r="T84" s="126"/>
      <c r="U84" s="126"/>
      <c r="V84" s="126"/>
      <c r="W84" s="126"/>
      <c r="X84" s="126"/>
      <c r="Y84" s="126"/>
      <c r="Z84" s="126"/>
    </row>
    <row r="85">
      <c r="A85" s="123" t="s">
        <v>521</v>
      </c>
      <c r="B85" s="123">
        <v>4105.19</v>
      </c>
      <c r="C85" s="123">
        <v>6855.73</v>
      </c>
      <c r="D85" s="123">
        <v>8022.45</v>
      </c>
      <c r="E85" s="123">
        <v>10170.63</v>
      </c>
      <c r="F85" s="123">
        <v>13215.5</v>
      </c>
      <c r="G85" s="123">
        <v>2750.54</v>
      </c>
      <c r="H85" s="124">
        <v>0.67</v>
      </c>
      <c r="I85" s="123">
        <v>1166.72</v>
      </c>
      <c r="J85" s="124">
        <v>0.1702</v>
      </c>
      <c r="K85" s="123">
        <v>2148.18</v>
      </c>
      <c r="L85" s="124">
        <v>0.2678</v>
      </c>
      <c r="M85" s="123">
        <v>3044.87</v>
      </c>
      <c r="N85" s="124">
        <v>0.2994</v>
      </c>
      <c r="O85" s="91"/>
      <c r="P85" s="91"/>
      <c r="Q85" s="91"/>
      <c r="R85" s="91"/>
      <c r="S85" s="91"/>
      <c r="T85" s="91"/>
      <c r="U85" s="91"/>
      <c r="V85" s="91"/>
      <c r="W85" s="91"/>
      <c r="X85" s="91"/>
      <c r="Y85" s="91"/>
      <c r="Z85" s="91"/>
    </row>
    <row r="86">
      <c r="A86" s="123" t="s">
        <v>399</v>
      </c>
      <c r="B86" s="123">
        <v>1010.02</v>
      </c>
      <c r="C86" s="123">
        <v>1586.33</v>
      </c>
      <c r="D86" s="123">
        <v>2121.89</v>
      </c>
      <c r="E86" s="123">
        <v>4055.49</v>
      </c>
      <c r="F86" s="123">
        <v>5416.69</v>
      </c>
      <c r="G86" s="123">
        <v>576.31</v>
      </c>
      <c r="H86" s="124">
        <v>0.5706</v>
      </c>
      <c r="I86" s="123">
        <v>535.56</v>
      </c>
      <c r="J86" s="124">
        <v>0.3376</v>
      </c>
      <c r="K86" s="123">
        <v>1933.6</v>
      </c>
      <c r="L86" s="124">
        <v>0.9113</v>
      </c>
      <c r="M86" s="123">
        <v>1361.2</v>
      </c>
      <c r="N86" s="124">
        <v>0.3356</v>
      </c>
      <c r="O86" s="91"/>
      <c r="P86" s="91"/>
      <c r="Q86" s="91"/>
      <c r="R86" s="91"/>
      <c r="S86" s="91"/>
      <c r="T86" s="91"/>
      <c r="U86" s="91"/>
      <c r="V86" s="91"/>
      <c r="W86" s="91"/>
      <c r="X86" s="91"/>
      <c r="Y86" s="91"/>
      <c r="Z86" s="91"/>
    </row>
    <row r="87">
      <c r="A87" s="123" t="s">
        <v>394</v>
      </c>
      <c r="B87" s="123">
        <v>0.82</v>
      </c>
      <c r="C87" s="123">
        <v>0.55</v>
      </c>
      <c r="D87" s="123">
        <v>1.73</v>
      </c>
      <c r="E87" s="123">
        <v>5.48</v>
      </c>
      <c r="F87" s="123">
        <v>13.82</v>
      </c>
      <c r="G87" s="123">
        <v>-0.27</v>
      </c>
      <c r="H87" s="124">
        <v>-0.3293</v>
      </c>
      <c r="I87" s="123">
        <v>1.18</v>
      </c>
      <c r="J87" s="124">
        <v>2.1455</v>
      </c>
      <c r="K87" s="123">
        <v>3.75</v>
      </c>
      <c r="L87" s="124">
        <v>2.1676</v>
      </c>
      <c r="M87" s="123">
        <v>8.34</v>
      </c>
      <c r="N87" s="124">
        <v>1.5219</v>
      </c>
      <c r="O87" s="91"/>
      <c r="P87" s="91"/>
      <c r="Q87" s="91"/>
      <c r="R87" s="91"/>
      <c r="S87" s="91"/>
      <c r="T87" s="91"/>
      <c r="U87" s="91"/>
      <c r="V87" s="91"/>
      <c r="W87" s="91"/>
      <c r="X87" s="91"/>
      <c r="Y87" s="91"/>
      <c r="Z87" s="91"/>
    </row>
    <row r="88">
      <c r="A88" s="123" t="s">
        <v>525</v>
      </c>
      <c r="B88" s="123">
        <v>8427.43</v>
      </c>
      <c r="C88" s="123">
        <v>10815.02</v>
      </c>
      <c r="D88" s="123">
        <v>16067.11</v>
      </c>
      <c r="E88" s="123">
        <v>23932.93</v>
      </c>
      <c r="F88" s="123">
        <v>28550.56</v>
      </c>
      <c r="G88" s="123">
        <v>2387.59</v>
      </c>
      <c r="H88" s="124">
        <v>0.2833</v>
      </c>
      <c r="I88" s="123">
        <v>5252.09</v>
      </c>
      <c r="J88" s="124">
        <v>0.4856</v>
      </c>
      <c r="K88" s="123">
        <v>7865.82</v>
      </c>
      <c r="L88" s="124">
        <v>0.4896</v>
      </c>
      <c r="M88" s="123">
        <v>4617.63</v>
      </c>
      <c r="N88" s="124">
        <v>0.1929</v>
      </c>
      <c r="O88" s="91"/>
      <c r="P88" s="91"/>
      <c r="Q88" s="91"/>
      <c r="R88" s="91"/>
      <c r="S88" s="91"/>
      <c r="T88" s="91"/>
      <c r="U88" s="91"/>
      <c r="V88" s="91"/>
      <c r="W88" s="91"/>
      <c r="X88" s="91"/>
      <c r="Y88" s="91"/>
      <c r="Z88" s="91"/>
    </row>
    <row r="89">
      <c r="A89" s="106" t="s">
        <v>527</v>
      </c>
      <c r="B89" s="106">
        <v>14278.42</v>
      </c>
      <c r="C89" s="106">
        <v>19957.86</v>
      </c>
      <c r="D89" s="106">
        <v>27009.6</v>
      </c>
      <c r="E89" s="106">
        <v>39104.47</v>
      </c>
      <c r="F89" s="106">
        <v>49235.2</v>
      </c>
      <c r="G89" s="106">
        <v>5679.44</v>
      </c>
      <c r="H89" s="125">
        <v>0.3978</v>
      </c>
      <c r="I89" s="106">
        <v>7051.74</v>
      </c>
      <c r="J89" s="125">
        <v>0.3533</v>
      </c>
      <c r="K89" s="106">
        <v>12094.87</v>
      </c>
      <c r="L89" s="125">
        <v>0.4478</v>
      </c>
      <c r="M89" s="106">
        <v>10130.73</v>
      </c>
      <c r="N89" s="125">
        <v>0.2591</v>
      </c>
      <c r="O89" s="126"/>
      <c r="P89" s="126"/>
      <c r="Q89" s="126"/>
      <c r="R89" s="126"/>
      <c r="S89" s="126"/>
      <c r="T89" s="126"/>
      <c r="U89" s="126"/>
      <c r="V89" s="126"/>
      <c r="W89" s="126"/>
      <c r="X89" s="126"/>
      <c r="Y89" s="126"/>
      <c r="Z89" s="126"/>
    </row>
    <row r="90">
      <c r="A90" s="106" t="s">
        <v>384</v>
      </c>
      <c r="B90" s="106">
        <v>33734.67</v>
      </c>
      <c r="C90" s="106">
        <v>34448.89</v>
      </c>
      <c r="D90" s="106">
        <v>47279.41</v>
      </c>
      <c r="E90" s="106">
        <v>59353.28</v>
      </c>
      <c r="F90" s="106">
        <v>60355.42</v>
      </c>
      <c r="G90" s="106">
        <v>714.22</v>
      </c>
      <c r="H90" s="125">
        <v>0.0212</v>
      </c>
      <c r="I90" s="106">
        <v>12830.52</v>
      </c>
      <c r="J90" s="125">
        <v>0.3725</v>
      </c>
      <c r="K90" s="106">
        <v>12073.87</v>
      </c>
      <c r="L90" s="125">
        <v>0.2554</v>
      </c>
      <c r="M90" s="106">
        <v>1002.14</v>
      </c>
      <c r="N90" s="125">
        <v>0.0169</v>
      </c>
      <c r="O90" s="126"/>
      <c r="P90" s="126"/>
      <c r="Q90" s="126"/>
      <c r="R90" s="126"/>
      <c r="S90" s="126"/>
      <c r="T90" s="126"/>
      <c r="U90" s="126"/>
      <c r="V90" s="126"/>
      <c r="W90" s="126"/>
      <c r="X90" s="126"/>
      <c r="Y90" s="126"/>
      <c r="Z90" s="126"/>
    </row>
    <row r="91">
      <c r="A91" s="123" t="s">
        <v>528</v>
      </c>
      <c r="B91" s="123">
        <v>7358.43</v>
      </c>
      <c r="C91" s="123">
        <v>7240.72</v>
      </c>
      <c r="D91" s="123">
        <v>10947.49</v>
      </c>
      <c r="E91" s="123">
        <v>13143.73</v>
      </c>
      <c r="F91" s="123">
        <v>13534.47</v>
      </c>
      <c r="G91" s="123">
        <v>-117.71</v>
      </c>
      <c r="H91" s="124">
        <v>-0.016</v>
      </c>
      <c r="I91" s="123">
        <v>3706.77</v>
      </c>
      <c r="J91" s="124">
        <v>0.5119</v>
      </c>
      <c r="K91" s="123">
        <v>2196.24</v>
      </c>
      <c r="L91" s="124">
        <v>0.2006</v>
      </c>
      <c r="M91" s="123">
        <v>390.74</v>
      </c>
      <c r="N91" s="124">
        <v>0.0297</v>
      </c>
      <c r="O91" s="91"/>
      <c r="P91" s="91"/>
      <c r="Q91" s="91"/>
      <c r="R91" s="91"/>
      <c r="S91" s="91"/>
      <c r="T91" s="91"/>
      <c r="U91" s="91"/>
      <c r="V91" s="91"/>
      <c r="W91" s="91"/>
      <c r="X91" s="91"/>
      <c r="Y91" s="91"/>
      <c r="Z91" s="91"/>
    </row>
    <row r="92">
      <c r="A92" s="106" t="s">
        <v>529</v>
      </c>
      <c r="B92" s="106">
        <v>26376.24</v>
      </c>
      <c r="C92" s="106">
        <v>27208.17</v>
      </c>
      <c r="D92" s="106">
        <v>36331.92</v>
      </c>
      <c r="E92" s="106">
        <v>46209.55</v>
      </c>
      <c r="F92" s="106">
        <v>46820.95</v>
      </c>
      <c r="G92" s="106">
        <v>831.93</v>
      </c>
      <c r="H92" s="125">
        <v>0.0315</v>
      </c>
      <c r="I92" s="106">
        <v>9123.75</v>
      </c>
      <c r="J92" s="125">
        <v>0.3353</v>
      </c>
      <c r="K92" s="106">
        <v>9877.63</v>
      </c>
      <c r="L92" s="125">
        <v>0.2719</v>
      </c>
      <c r="M92" s="106">
        <v>611.4</v>
      </c>
      <c r="N92" s="125">
        <v>0.0132</v>
      </c>
      <c r="O92" s="126"/>
      <c r="P92" s="126"/>
      <c r="Q92" s="126"/>
      <c r="R92" s="126"/>
      <c r="S92" s="126"/>
      <c r="T92" s="126"/>
      <c r="U92" s="126"/>
      <c r="V92" s="126"/>
      <c r="W92" s="126"/>
      <c r="X92" s="126"/>
      <c r="Y92" s="126"/>
      <c r="Z92" s="126"/>
    </row>
    <row r="93">
      <c r="A93" s="123" t="s">
        <v>530</v>
      </c>
      <c r="B93" s="123">
        <v>23188.15</v>
      </c>
      <c r="C93" s="123">
        <v>20656.79</v>
      </c>
      <c r="D93" s="123">
        <v>33430.33</v>
      </c>
      <c r="E93" s="123">
        <v>44278.38</v>
      </c>
      <c r="F93" s="123">
        <v>43072.69</v>
      </c>
      <c r="G93" s="123">
        <v>-2531.36</v>
      </c>
      <c r="H93" s="124">
        <v>-0.1092</v>
      </c>
      <c r="I93" s="123">
        <v>12773.54</v>
      </c>
      <c r="J93" s="124">
        <v>0.6184</v>
      </c>
      <c r="K93" s="123">
        <v>10848.05</v>
      </c>
      <c r="L93" s="124">
        <v>0.3245</v>
      </c>
      <c r="M93" s="123">
        <v>-1205.69</v>
      </c>
      <c r="N93" s="124">
        <v>-0.0272</v>
      </c>
      <c r="O93" s="91"/>
      <c r="P93" s="91"/>
      <c r="Q93" s="91"/>
      <c r="R93" s="91"/>
      <c r="S93" s="91"/>
      <c r="T93" s="91"/>
      <c r="U93" s="91"/>
      <c r="V93" s="91"/>
      <c r="W93" s="91"/>
      <c r="X93" s="91"/>
      <c r="Y93" s="91"/>
      <c r="Z93" s="91"/>
    </row>
    <row r="94">
      <c r="A94" s="123" t="s">
        <v>531</v>
      </c>
      <c r="B94" s="123">
        <v>-11371.55</v>
      </c>
      <c r="C94" s="123">
        <v>-6740.5</v>
      </c>
      <c r="D94" s="123">
        <v>-20432.95</v>
      </c>
      <c r="E94" s="123">
        <v>-20594.91</v>
      </c>
      <c r="F94" s="123">
        <v>-15374.23</v>
      </c>
      <c r="G94" s="123">
        <v>4631.05</v>
      </c>
      <c r="H94" s="124">
        <v>-0.4072</v>
      </c>
      <c r="I94" s="123">
        <v>-13692.45</v>
      </c>
      <c r="J94" s="124">
        <v>2.0314</v>
      </c>
      <c r="K94" s="123">
        <v>-161.96</v>
      </c>
      <c r="L94" s="124">
        <v>0.0079</v>
      </c>
      <c r="M94" s="123">
        <v>5220.68</v>
      </c>
      <c r="N94" s="124">
        <v>-0.2535</v>
      </c>
      <c r="O94" s="91"/>
      <c r="P94" s="91"/>
      <c r="Q94" s="91"/>
      <c r="R94" s="91"/>
      <c r="S94" s="91"/>
      <c r="T94" s="91"/>
      <c r="U94" s="91"/>
      <c r="V94" s="91"/>
      <c r="W94" s="91"/>
      <c r="X94" s="91"/>
      <c r="Y94" s="91"/>
      <c r="Z94" s="91"/>
    </row>
    <row r="95">
      <c r="A95" s="123" t="s">
        <v>532</v>
      </c>
      <c r="B95" s="123">
        <v>-9409.51</v>
      </c>
      <c r="C95" s="123">
        <v>-15677.11</v>
      </c>
      <c r="D95" s="123">
        <v>-16730.87</v>
      </c>
      <c r="E95" s="123">
        <v>-23012.34</v>
      </c>
      <c r="F95" s="123">
        <v>-26213.41</v>
      </c>
      <c r="G95" s="123">
        <v>-6267.6</v>
      </c>
      <c r="H95" s="124">
        <v>0.6661</v>
      </c>
      <c r="I95" s="123">
        <v>-1053.76</v>
      </c>
      <c r="J95" s="124">
        <v>0.0672</v>
      </c>
      <c r="K95" s="123">
        <v>-6281.47</v>
      </c>
      <c r="L95" s="124">
        <v>0.3754</v>
      </c>
      <c r="M95" s="123">
        <v>-3201.07</v>
      </c>
      <c r="N95" s="124">
        <v>0.1391</v>
      </c>
      <c r="O95" s="91"/>
      <c r="P95" s="91"/>
      <c r="Q95" s="91"/>
      <c r="R95" s="91"/>
      <c r="S95" s="91"/>
      <c r="T95" s="91"/>
      <c r="U95" s="91"/>
      <c r="V95" s="91"/>
      <c r="W95" s="91"/>
      <c r="X95" s="91"/>
      <c r="Y95" s="91"/>
      <c r="Z95" s="91"/>
    </row>
    <row r="96">
      <c r="A96" s="123" t="s">
        <v>533</v>
      </c>
      <c r="B96" s="123">
        <v>2407.09</v>
      </c>
      <c r="C96" s="123">
        <v>-1760.82</v>
      </c>
      <c r="D96" s="123">
        <v>-3733.49</v>
      </c>
      <c r="E96" s="123">
        <v>671.13</v>
      </c>
      <c r="F96" s="123">
        <v>1485.05</v>
      </c>
      <c r="G96" s="123">
        <v>-4167.91</v>
      </c>
      <c r="H96" s="124">
        <v>-1.7315</v>
      </c>
      <c r="I96" s="123">
        <v>-1972.67</v>
      </c>
      <c r="J96" s="124">
        <v>1.1203</v>
      </c>
      <c r="K96" s="123">
        <v>4404.62</v>
      </c>
      <c r="L96" s="124">
        <v>-1.1798</v>
      </c>
      <c r="M96" s="123">
        <v>813.92</v>
      </c>
      <c r="N96" s="124">
        <v>1.2128</v>
      </c>
      <c r="O96" s="91"/>
      <c r="P96" s="91"/>
      <c r="Q96" s="91"/>
      <c r="R96" s="91"/>
      <c r="S96" s="91"/>
      <c r="T96" s="91"/>
      <c r="U96" s="91"/>
      <c r="V96" s="91"/>
      <c r="W96" s="91"/>
      <c r="X96" s="91"/>
      <c r="Y96" s="91"/>
      <c r="Z96" s="91"/>
    </row>
    <row r="97">
      <c r="A97" s="123" t="s">
        <v>534</v>
      </c>
      <c r="B97" s="123">
        <v>6519.84</v>
      </c>
      <c r="C97" s="123">
        <v>4759.02</v>
      </c>
      <c r="D97" s="123">
        <v>1025.53</v>
      </c>
      <c r="E97" s="123">
        <v>1696.66</v>
      </c>
      <c r="F97" s="123">
        <v>3181.71</v>
      </c>
      <c r="G97" s="123">
        <v>-1760.82</v>
      </c>
      <c r="H97" s="124">
        <v>-0.2701</v>
      </c>
      <c r="I97" s="123">
        <v>-3733.49</v>
      </c>
      <c r="J97" s="124">
        <v>-0.7845</v>
      </c>
      <c r="K97" s="123">
        <v>671.13</v>
      </c>
      <c r="L97" s="124">
        <v>0.6544</v>
      </c>
      <c r="M97" s="123">
        <v>1485.05</v>
      </c>
      <c r="N97" s="124">
        <v>0.8753</v>
      </c>
      <c r="O97" s="91"/>
      <c r="P97" s="91"/>
      <c r="Q97" s="91"/>
      <c r="R97" s="91"/>
      <c r="S97" s="91"/>
      <c r="T97" s="91"/>
      <c r="U97" s="91"/>
      <c r="V97" s="91"/>
      <c r="W97" s="91"/>
      <c r="X97" s="91"/>
      <c r="Y97" s="91"/>
      <c r="Z97" s="91"/>
    </row>
    <row r="98">
      <c r="A98" s="123" t="s">
        <v>535</v>
      </c>
      <c r="B98" s="123">
        <v>26690.14</v>
      </c>
      <c r="C98" s="123">
        <v>61274.38</v>
      </c>
      <c r="D98" s="123">
        <v>73926.3</v>
      </c>
      <c r="E98" s="123">
        <v>75050.21</v>
      </c>
      <c r="F98" s="123">
        <v>102831.65</v>
      </c>
      <c r="G98" s="123">
        <v>34584.24</v>
      </c>
      <c r="H98" s="124">
        <v>1.2958</v>
      </c>
      <c r="I98" s="123">
        <v>12651.92</v>
      </c>
      <c r="J98" s="124">
        <v>0.2065</v>
      </c>
      <c r="K98" s="123">
        <v>1123.91</v>
      </c>
      <c r="L98" s="124">
        <v>0.0152</v>
      </c>
      <c r="M98" s="123">
        <v>27781.44</v>
      </c>
      <c r="N98" s="124">
        <v>0.3702</v>
      </c>
      <c r="O98" s="91"/>
      <c r="P98" s="91"/>
      <c r="Q98" s="91"/>
      <c r="R98" s="91"/>
      <c r="S98" s="91"/>
      <c r="T98" s="91"/>
      <c r="U98" s="91"/>
      <c r="V98" s="91"/>
      <c r="W98" s="91"/>
      <c r="X98" s="91"/>
      <c r="Y98" s="91"/>
      <c r="Z98" s="91"/>
    </row>
    <row r="99">
      <c r="A99" s="123" t="s">
        <v>536</v>
      </c>
      <c r="B99" s="123">
        <v>75962.21</v>
      </c>
      <c r="C99" s="123">
        <v>53542.89</v>
      </c>
      <c r="D99" s="123">
        <v>66376.35</v>
      </c>
      <c r="E99" s="123">
        <v>96722.1</v>
      </c>
      <c r="F99" s="123">
        <v>94720.88</v>
      </c>
      <c r="G99" s="123">
        <v>-22419.32</v>
      </c>
      <c r="H99" s="124">
        <v>-0.2951</v>
      </c>
      <c r="I99" s="123">
        <v>12833.46</v>
      </c>
      <c r="J99" s="124">
        <v>0.2397</v>
      </c>
      <c r="K99" s="123">
        <v>30345.75</v>
      </c>
      <c r="L99" s="124">
        <v>0.4572</v>
      </c>
      <c r="M99" s="123">
        <v>-2001.22</v>
      </c>
      <c r="N99" s="124">
        <v>-0.0207</v>
      </c>
      <c r="O99" s="91"/>
      <c r="P99" s="91"/>
      <c r="Q99" s="91"/>
      <c r="R99" s="91"/>
      <c r="S99" s="91"/>
      <c r="T99" s="91"/>
      <c r="U99" s="91"/>
      <c r="V99" s="91"/>
      <c r="W99" s="91"/>
      <c r="X99" s="91"/>
      <c r="Y99" s="91"/>
      <c r="Z99" s="91"/>
    </row>
    <row r="100">
      <c r="A100" s="106" t="s">
        <v>537</v>
      </c>
      <c r="B100" s="106">
        <v>102652.35</v>
      </c>
      <c r="C100" s="106">
        <v>114817.27</v>
      </c>
      <c r="D100" s="106">
        <v>140302.65</v>
      </c>
      <c r="E100" s="106">
        <v>171772.31</v>
      </c>
      <c r="F100" s="106">
        <v>197552.53</v>
      </c>
      <c r="G100" s="106">
        <v>12164.92</v>
      </c>
      <c r="H100" s="125">
        <v>0.1185</v>
      </c>
      <c r="I100" s="106">
        <v>25485.38</v>
      </c>
      <c r="J100" s="125">
        <v>0.222</v>
      </c>
      <c r="K100" s="106">
        <v>31469.66</v>
      </c>
      <c r="L100" s="125">
        <v>0.2243</v>
      </c>
      <c r="M100" s="106">
        <v>25780.22</v>
      </c>
      <c r="N100" s="125">
        <v>0.1501</v>
      </c>
      <c r="O100" s="126"/>
      <c r="P100" s="126"/>
      <c r="Q100" s="126"/>
      <c r="R100" s="126"/>
      <c r="S100" s="126"/>
      <c r="T100" s="126"/>
      <c r="U100" s="126"/>
      <c r="V100" s="126"/>
      <c r="W100" s="126"/>
      <c r="X100" s="126"/>
      <c r="Y100" s="126"/>
      <c r="Z100" s="126"/>
    </row>
    <row r="101">
      <c r="A101" s="106" t="s">
        <v>538</v>
      </c>
      <c r="B101" s="106">
        <v>85012.69</v>
      </c>
      <c r="C101" s="106">
        <v>96585.54</v>
      </c>
      <c r="D101" s="106">
        <v>115987.76</v>
      </c>
      <c r="E101" s="106">
        <v>139128.46</v>
      </c>
      <c r="F101" s="106">
        <v>159817.16</v>
      </c>
      <c r="G101" s="106">
        <v>11572.85</v>
      </c>
      <c r="H101" s="125">
        <v>0.1361</v>
      </c>
      <c r="I101" s="106">
        <v>19402.22</v>
      </c>
      <c r="J101" s="125">
        <v>0.2009</v>
      </c>
      <c r="K101" s="106">
        <v>23140.7</v>
      </c>
      <c r="L101" s="125">
        <v>0.1995</v>
      </c>
      <c r="M101" s="106">
        <v>20688.7</v>
      </c>
      <c r="N101" s="125">
        <v>0.1487</v>
      </c>
      <c r="O101" s="126"/>
      <c r="P101" s="126"/>
      <c r="Q101" s="126"/>
      <c r="R101" s="126"/>
      <c r="S101" s="126"/>
      <c r="T101" s="126"/>
      <c r="U101" s="126"/>
      <c r="V101" s="126"/>
      <c r="W101" s="126"/>
      <c r="X101" s="126"/>
      <c r="Y101" s="126"/>
      <c r="Z101" s="126"/>
    </row>
    <row r="102">
      <c r="A102" s="123" t="s">
        <v>539</v>
      </c>
      <c r="B102" s="123">
        <v>1074.15</v>
      </c>
      <c r="C102" s="123">
        <v>1172.95</v>
      </c>
      <c r="D102" s="123">
        <v>2829.32</v>
      </c>
      <c r="E102" s="123">
        <v>3233.36</v>
      </c>
      <c r="F102" s="123">
        <v>3448.47</v>
      </c>
      <c r="G102" s="123">
        <v>98.8</v>
      </c>
      <c r="H102" s="124">
        <v>0.092</v>
      </c>
      <c r="I102" s="123">
        <v>1656.37</v>
      </c>
      <c r="J102" s="124">
        <v>1.4121</v>
      </c>
      <c r="K102" s="123">
        <v>404.04</v>
      </c>
      <c r="L102" s="124">
        <v>0.1428</v>
      </c>
      <c r="M102" s="123">
        <v>215.11</v>
      </c>
      <c r="N102" s="124">
        <v>0.0665</v>
      </c>
      <c r="O102" s="91"/>
      <c r="P102" s="91"/>
      <c r="Q102" s="91"/>
      <c r="R102" s="91"/>
      <c r="S102" s="91"/>
      <c r="T102" s="91"/>
      <c r="U102" s="91"/>
      <c r="V102" s="91"/>
      <c r="W102" s="91"/>
      <c r="X102" s="91"/>
      <c r="Y102" s="91"/>
      <c r="Z102" s="91"/>
    </row>
    <row r="103">
      <c r="A103" s="123" t="s">
        <v>540</v>
      </c>
      <c r="B103" s="123">
        <v>16565.51</v>
      </c>
      <c r="C103" s="123">
        <v>17058.78</v>
      </c>
      <c r="D103" s="123">
        <v>21485.57</v>
      </c>
      <c r="E103" s="123">
        <v>29410.49</v>
      </c>
      <c r="F103" s="123">
        <v>34286.9</v>
      </c>
      <c r="G103" s="123">
        <v>493.27</v>
      </c>
      <c r="H103" s="124">
        <v>0.0298</v>
      </c>
      <c r="I103" s="123">
        <v>4426.79</v>
      </c>
      <c r="J103" s="124">
        <v>0.2595</v>
      </c>
      <c r="K103" s="123">
        <v>7924.92</v>
      </c>
      <c r="L103" s="124">
        <v>0.3688</v>
      </c>
      <c r="M103" s="123">
        <v>4876.41</v>
      </c>
      <c r="N103" s="124">
        <v>0.1658</v>
      </c>
      <c r="O103" s="91"/>
      <c r="P103" s="91"/>
      <c r="Q103" s="91"/>
      <c r="R103" s="91"/>
      <c r="S103" s="91"/>
      <c r="T103" s="91"/>
      <c r="U103" s="91"/>
      <c r="V103" s="91"/>
      <c r="W103" s="91"/>
      <c r="X103" s="91"/>
      <c r="Y103" s="91"/>
      <c r="Z103" s="91"/>
    </row>
    <row r="104">
      <c r="A104" s="106" t="s">
        <v>541</v>
      </c>
      <c r="B104" s="106">
        <v>17639.66</v>
      </c>
      <c r="C104" s="106">
        <v>18231.73</v>
      </c>
      <c r="D104" s="106">
        <v>24314.89</v>
      </c>
      <c r="E104" s="106">
        <v>32643.85</v>
      </c>
      <c r="F104" s="106">
        <v>37735.37</v>
      </c>
      <c r="G104" s="106">
        <v>592.07</v>
      </c>
      <c r="H104" s="125">
        <v>0.0336</v>
      </c>
      <c r="I104" s="106">
        <v>6083.16</v>
      </c>
      <c r="J104" s="125">
        <v>0.3337</v>
      </c>
      <c r="K104" s="106">
        <v>8328.96</v>
      </c>
      <c r="L104" s="125">
        <v>0.3425</v>
      </c>
      <c r="M104" s="106">
        <v>5091.52</v>
      </c>
      <c r="N104" s="125">
        <v>0.156</v>
      </c>
      <c r="O104" s="126"/>
      <c r="P104" s="126"/>
      <c r="Q104" s="126"/>
      <c r="R104" s="126"/>
      <c r="S104" s="126"/>
      <c r="T104" s="126"/>
      <c r="U104" s="126"/>
      <c r="V104" s="126"/>
      <c r="W104" s="126"/>
      <c r="X104" s="126"/>
      <c r="Y104" s="126"/>
      <c r="Z104" s="126"/>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127" t="s">
        <v>542</v>
      </c>
      <c r="B107" s="16"/>
      <c r="C107" s="16"/>
      <c r="D107" s="16"/>
      <c r="E107" s="16"/>
      <c r="F107" s="16"/>
      <c r="G107" s="16"/>
      <c r="H107" s="16"/>
      <c r="I107" s="16"/>
      <c r="J107" s="16"/>
      <c r="K107" s="16"/>
      <c r="L107" s="16"/>
      <c r="M107" s="16"/>
      <c r="N107" s="5"/>
      <c r="O107" s="37"/>
      <c r="P107" s="37"/>
      <c r="Q107" s="37"/>
      <c r="R107" s="37"/>
      <c r="S107" s="37"/>
      <c r="T107" s="37"/>
      <c r="U107" s="37"/>
      <c r="V107" s="37"/>
      <c r="W107" s="37"/>
      <c r="X107" s="37"/>
      <c r="Y107" s="37"/>
      <c r="Z107" s="37"/>
    </row>
    <row r="108">
      <c r="A108" s="71" t="s">
        <v>543</v>
      </c>
      <c r="B108" s="128" t="s">
        <v>544</v>
      </c>
      <c r="C108" s="16"/>
      <c r="D108" s="16"/>
      <c r="E108" s="16"/>
      <c r="F108" s="16"/>
      <c r="G108" s="16"/>
      <c r="H108" s="16"/>
      <c r="I108" s="16"/>
      <c r="J108" s="16"/>
      <c r="K108" s="16"/>
      <c r="L108" s="16"/>
      <c r="M108" s="16"/>
      <c r="N108" s="5"/>
      <c r="O108" s="37"/>
      <c r="P108" s="37"/>
      <c r="Q108" s="37"/>
      <c r="R108" s="37"/>
      <c r="S108" s="37"/>
      <c r="T108" s="37"/>
      <c r="U108" s="37"/>
      <c r="V108" s="37"/>
      <c r="W108" s="37"/>
      <c r="X108" s="37"/>
      <c r="Y108" s="37"/>
      <c r="Z108" s="37"/>
    </row>
    <row r="109">
      <c r="A109" s="71" t="s">
        <v>545</v>
      </c>
      <c r="B109" s="129" t="s">
        <v>546</v>
      </c>
      <c r="C109" s="16"/>
      <c r="D109" s="16"/>
      <c r="E109" s="16"/>
      <c r="F109" s="16"/>
      <c r="G109" s="16"/>
      <c r="H109" s="16"/>
      <c r="I109" s="16"/>
      <c r="J109" s="16"/>
      <c r="K109" s="16"/>
      <c r="L109" s="16"/>
      <c r="M109" s="16"/>
      <c r="N109" s="5"/>
      <c r="O109" s="37"/>
      <c r="P109" s="37"/>
      <c r="Q109" s="37"/>
      <c r="R109" s="37"/>
      <c r="S109" s="37"/>
      <c r="T109" s="37"/>
      <c r="U109" s="37"/>
      <c r="V109" s="37"/>
      <c r="W109" s="37"/>
      <c r="X109" s="37"/>
      <c r="Y109" s="37"/>
      <c r="Z109" s="37"/>
    </row>
    <row r="110">
      <c r="A110" s="71" t="s">
        <v>547</v>
      </c>
      <c r="B110" s="129" t="s">
        <v>548</v>
      </c>
      <c r="C110" s="16"/>
      <c r="D110" s="16"/>
      <c r="E110" s="16"/>
      <c r="F110" s="16"/>
      <c r="G110" s="16"/>
      <c r="H110" s="16"/>
      <c r="I110" s="16"/>
      <c r="J110" s="16"/>
      <c r="K110" s="16"/>
      <c r="L110" s="16"/>
      <c r="M110" s="16"/>
      <c r="N110" s="5"/>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130" t="s">
        <v>549</v>
      </c>
      <c r="B113" s="53" t="s">
        <v>142</v>
      </c>
      <c r="C113" s="53" t="s">
        <v>148</v>
      </c>
      <c r="D113" s="53" t="s">
        <v>150</v>
      </c>
      <c r="E113" s="53" t="s">
        <v>152</v>
      </c>
      <c r="F113" s="53" t="s">
        <v>153</v>
      </c>
      <c r="G113" s="131" t="s">
        <v>549</v>
      </c>
      <c r="H113" s="132" t="s">
        <v>550</v>
      </c>
      <c r="I113" s="132" t="s">
        <v>551</v>
      </c>
      <c r="J113" s="132" t="s">
        <v>552</v>
      </c>
      <c r="K113" s="132" t="s">
        <v>553</v>
      </c>
      <c r="L113" s="132" t="s">
        <v>554</v>
      </c>
      <c r="M113" s="37"/>
      <c r="N113" s="37"/>
      <c r="O113" s="37"/>
      <c r="P113" s="91"/>
      <c r="Q113" s="91"/>
      <c r="R113" s="91"/>
      <c r="S113" s="91"/>
      <c r="T113" s="91"/>
      <c r="U113" s="91"/>
      <c r="V113" s="91"/>
      <c r="W113" s="91"/>
      <c r="X113" s="91"/>
      <c r="Y113" s="91"/>
      <c r="Z113" s="91"/>
    </row>
    <row r="114">
      <c r="A114" s="106" t="s">
        <v>513</v>
      </c>
      <c r="B114" s="125">
        <v>1.0</v>
      </c>
      <c r="C114" s="125">
        <v>1.0</v>
      </c>
      <c r="D114" s="125">
        <v>1.0</v>
      </c>
      <c r="E114" s="125">
        <v>1.0</v>
      </c>
      <c r="F114" s="125">
        <v>1.0</v>
      </c>
      <c r="G114" s="106" t="s">
        <v>513</v>
      </c>
      <c r="H114" s="106">
        <v>41480.33</v>
      </c>
      <c r="I114" s="106">
        <v>45059.96</v>
      </c>
      <c r="J114" s="106">
        <v>64095.7</v>
      </c>
      <c r="K114" s="106">
        <v>84820.91</v>
      </c>
      <c r="L114" s="106">
        <v>96045.23</v>
      </c>
      <c r="M114" s="37"/>
      <c r="N114" s="37"/>
      <c r="O114" s="37"/>
      <c r="P114" s="126"/>
      <c r="Q114" s="126"/>
      <c r="R114" s="126"/>
      <c r="S114" s="126"/>
      <c r="T114" s="126"/>
      <c r="U114" s="126"/>
      <c r="V114" s="126"/>
      <c r="W114" s="126"/>
      <c r="X114" s="126"/>
      <c r="Y114" s="126"/>
      <c r="Z114" s="126"/>
    </row>
    <row r="115">
      <c r="A115" s="123" t="s">
        <v>516</v>
      </c>
      <c r="B115" s="133"/>
      <c r="C115" s="124">
        <v>0.1575</v>
      </c>
      <c r="D115" s="124">
        <v>0.2074</v>
      </c>
      <c r="E115" s="124">
        <v>0.159</v>
      </c>
      <c r="F115" s="124">
        <v>0.1608</v>
      </c>
      <c r="G115" s="123" t="s">
        <v>516</v>
      </c>
      <c r="H115" s="123">
        <v>6532.76</v>
      </c>
      <c r="I115" s="123">
        <v>9346.79</v>
      </c>
      <c r="J115" s="123">
        <v>10193.31</v>
      </c>
      <c r="K115" s="123">
        <v>13636.84</v>
      </c>
      <c r="L115" s="123">
        <v>13545.39</v>
      </c>
      <c r="M115" s="37"/>
      <c r="N115" s="37"/>
      <c r="O115" s="37"/>
      <c r="P115" s="91"/>
      <c r="Q115" s="91"/>
      <c r="R115" s="91"/>
      <c r="S115" s="91"/>
      <c r="T115" s="91"/>
      <c r="U115" s="91"/>
      <c r="V115" s="91"/>
      <c r="W115" s="91"/>
      <c r="X115" s="91"/>
      <c r="Y115" s="91"/>
      <c r="Z115" s="91"/>
    </row>
    <row r="116">
      <c r="A116" s="106" t="s">
        <v>519</v>
      </c>
      <c r="B116" s="134"/>
      <c r="C116" s="125">
        <v>1.1575</v>
      </c>
      <c r="D116" s="125">
        <v>1.2074</v>
      </c>
      <c r="E116" s="125">
        <v>1.159</v>
      </c>
      <c r="F116" s="125">
        <v>1.1608</v>
      </c>
      <c r="G116" s="106" t="s">
        <v>519</v>
      </c>
      <c r="H116" s="106">
        <v>48013.09</v>
      </c>
      <c r="I116" s="106">
        <v>54406.75</v>
      </c>
      <c r="J116" s="106">
        <v>74289.01</v>
      </c>
      <c r="K116" s="106">
        <v>98457.75</v>
      </c>
      <c r="L116" s="106">
        <v>109590.6</v>
      </c>
      <c r="M116" s="103"/>
      <c r="N116" s="103"/>
      <c r="O116" s="103"/>
      <c r="P116" s="126"/>
      <c r="Q116" s="126"/>
      <c r="R116" s="126"/>
      <c r="S116" s="126"/>
      <c r="T116" s="126"/>
      <c r="U116" s="126"/>
      <c r="V116" s="126"/>
      <c r="W116" s="126"/>
      <c r="X116" s="126"/>
      <c r="Y116" s="126"/>
      <c r="Z116" s="126"/>
    </row>
    <row r="117">
      <c r="A117" s="123" t="s">
        <v>521</v>
      </c>
      <c r="B117" s="133"/>
      <c r="C117" s="124">
        <v>0.099</v>
      </c>
      <c r="D117" s="124">
        <v>0.1521</v>
      </c>
      <c r="E117" s="124">
        <v>0.1252</v>
      </c>
      <c r="F117" s="124">
        <v>0.1199</v>
      </c>
      <c r="G117" s="123" t="s">
        <v>521</v>
      </c>
      <c r="H117" s="123">
        <v>4105.19</v>
      </c>
      <c r="I117" s="123">
        <v>6855.73</v>
      </c>
      <c r="J117" s="123">
        <v>8022.45</v>
      </c>
      <c r="K117" s="123">
        <v>10170.63</v>
      </c>
      <c r="L117" s="123">
        <v>13215.5</v>
      </c>
      <c r="M117" s="37"/>
      <c r="N117" s="37"/>
      <c r="O117" s="37"/>
      <c r="P117" s="91"/>
      <c r="Q117" s="91"/>
      <c r="R117" s="91"/>
      <c r="S117" s="91"/>
      <c r="T117" s="91"/>
      <c r="U117" s="91"/>
      <c r="V117" s="91"/>
      <c r="W117" s="91"/>
      <c r="X117" s="91"/>
      <c r="Y117" s="91"/>
      <c r="Z117" s="91"/>
    </row>
    <row r="118">
      <c r="A118" s="123" t="s">
        <v>399</v>
      </c>
      <c r="B118" s="133"/>
      <c r="C118" s="124">
        <v>0.0243</v>
      </c>
      <c r="D118" s="124">
        <v>0.0352</v>
      </c>
      <c r="E118" s="124">
        <v>0.0331</v>
      </c>
      <c r="F118" s="124">
        <v>0.0478</v>
      </c>
      <c r="G118" s="123" t="s">
        <v>399</v>
      </c>
      <c r="H118" s="123">
        <v>1010.02</v>
      </c>
      <c r="I118" s="123">
        <v>1586.33</v>
      </c>
      <c r="J118" s="123">
        <v>2121.89</v>
      </c>
      <c r="K118" s="123">
        <v>4055.49</v>
      </c>
      <c r="L118" s="123">
        <v>5416.69</v>
      </c>
      <c r="M118" s="37"/>
      <c r="N118" s="37"/>
      <c r="O118" s="37"/>
      <c r="P118" s="91"/>
      <c r="Q118" s="91"/>
      <c r="R118" s="91"/>
      <c r="S118" s="91"/>
      <c r="T118" s="91"/>
      <c r="U118" s="91"/>
      <c r="V118" s="91"/>
      <c r="W118" s="91"/>
      <c r="X118" s="91"/>
      <c r="Y118" s="91"/>
      <c r="Z118" s="91"/>
    </row>
    <row r="119">
      <c r="A119" s="123" t="s">
        <v>394</v>
      </c>
      <c r="B119" s="133"/>
      <c r="C119" s="124">
        <v>0.0</v>
      </c>
      <c r="D119" s="124">
        <v>0.0</v>
      </c>
      <c r="E119" s="124">
        <v>0.0</v>
      </c>
      <c r="F119" s="124">
        <v>1.0E-4</v>
      </c>
      <c r="G119" s="123" t="s">
        <v>394</v>
      </c>
      <c r="H119" s="123">
        <v>0.82</v>
      </c>
      <c r="I119" s="123">
        <v>0.55</v>
      </c>
      <c r="J119" s="123">
        <v>1.73</v>
      </c>
      <c r="K119" s="123">
        <v>5.48</v>
      </c>
      <c r="L119" s="123">
        <v>13.82</v>
      </c>
      <c r="M119" s="37"/>
      <c r="N119" s="37"/>
      <c r="O119" s="37"/>
      <c r="P119" s="91"/>
      <c r="Q119" s="91"/>
      <c r="R119" s="91"/>
      <c r="S119" s="91"/>
      <c r="T119" s="91"/>
      <c r="U119" s="91"/>
      <c r="V119" s="91"/>
      <c r="W119" s="91"/>
      <c r="X119" s="91"/>
      <c r="Y119" s="91"/>
      <c r="Z119" s="91"/>
    </row>
    <row r="120">
      <c r="A120" s="123" t="s">
        <v>525</v>
      </c>
      <c r="B120" s="133"/>
      <c r="C120" s="124">
        <v>0.2032</v>
      </c>
      <c r="D120" s="124">
        <v>0.24</v>
      </c>
      <c r="E120" s="124">
        <v>0.2507</v>
      </c>
      <c r="F120" s="124">
        <v>0.2822</v>
      </c>
      <c r="G120" s="123" t="s">
        <v>525</v>
      </c>
      <c r="H120" s="123">
        <v>8427.43</v>
      </c>
      <c r="I120" s="123">
        <v>10815.02</v>
      </c>
      <c r="J120" s="123">
        <v>16067.11</v>
      </c>
      <c r="K120" s="123">
        <v>23932.93</v>
      </c>
      <c r="L120" s="123">
        <v>28550.56</v>
      </c>
      <c r="M120" s="37"/>
      <c r="N120" s="37"/>
      <c r="O120" s="37"/>
      <c r="P120" s="91"/>
      <c r="Q120" s="91"/>
      <c r="R120" s="91"/>
      <c r="S120" s="91"/>
      <c r="T120" s="91"/>
      <c r="U120" s="91"/>
      <c r="V120" s="91"/>
      <c r="W120" s="91"/>
      <c r="X120" s="91"/>
      <c r="Y120" s="91"/>
      <c r="Z120" s="91"/>
    </row>
    <row r="121">
      <c r="A121" s="106" t="s">
        <v>527</v>
      </c>
      <c r="B121" s="134"/>
      <c r="C121" s="125">
        <v>0.3442</v>
      </c>
      <c r="D121" s="125">
        <v>0.4429</v>
      </c>
      <c r="E121" s="125">
        <v>0.4214</v>
      </c>
      <c r="F121" s="125">
        <v>0.461</v>
      </c>
      <c r="G121" s="106" t="s">
        <v>527</v>
      </c>
      <c r="H121" s="106">
        <v>14278.42</v>
      </c>
      <c r="I121" s="106">
        <v>19957.86</v>
      </c>
      <c r="J121" s="106">
        <v>27009.6</v>
      </c>
      <c r="K121" s="106">
        <v>39104.47</v>
      </c>
      <c r="L121" s="106">
        <v>49235.2</v>
      </c>
      <c r="M121" s="103"/>
      <c r="N121" s="103"/>
      <c r="O121" s="103"/>
      <c r="P121" s="126"/>
      <c r="Q121" s="126"/>
      <c r="R121" s="126"/>
      <c r="S121" s="126"/>
      <c r="T121" s="126"/>
      <c r="U121" s="126"/>
      <c r="V121" s="126"/>
      <c r="W121" s="126"/>
      <c r="X121" s="126"/>
      <c r="Y121" s="126"/>
      <c r="Z121" s="126"/>
    </row>
    <row r="122">
      <c r="A122" s="106" t="s">
        <v>384</v>
      </c>
      <c r="B122" s="134"/>
      <c r="C122" s="125">
        <v>0.8133</v>
      </c>
      <c r="D122" s="125">
        <v>0.7645</v>
      </c>
      <c r="E122" s="125">
        <v>0.7376</v>
      </c>
      <c r="F122" s="125">
        <v>0.6997</v>
      </c>
      <c r="G122" s="106" t="s">
        <v>384</v>
      </c>
      <c r="H122" s="106">
        <v>33734.67</v>
      </c>
      <c r="I122" s="106">
        <v>34448.89</v>
      </c>
      <c r="J122" s="106">
        <v>47279.41</v>
      </c>
      <c r="K122" s="106">
        <v>59353.28</v>
      </c>
      <c r="L122" s="106">
        <v>60355.42</v>
      </c>
      <c r="M122" s="103"/>
      <c r="N122" s="103"/>
      <c r="O122" s="103"/>
      <c r="P122" s="126"/>
      <c r="Q122" s="126"/>
      <c r="R122" s="126"/>
      <c r="S122" s="126"/>
      <c r="T122" s="126"/>
      <c r="U122" s="126"/>
      <c r="V122" s="126"/>
      <c r="W122" s="126"/>
      <c r="X122" s="126"/>
      <c r="Y122" s="126"/>
      <c r="Z122" s="126"/>
    </row>
    <row r="123">
      <c r="A123" s="123" t="s">
        <v>528</v>
      </c>
      <c r="B123" s="133"/>
      <c r="C123" s="124">
        <v>0.1774</v>
      </c>
      <c r="D123" s="124">
        <v>0.1607</v>
      </c>
      <c r="E123" s="124">
        <v>0.1708</v>
      </c>
      <c r="F123" s="124">
        <v>0.155</v>
      </c>
      <c r="G123" s="123" t="s">
        <v>528</v>
      </c>
      <c r="H123" s="123">
        <v>7358.43</v>
      </c>
      <c r="I123" s="123">
        <v>7240.72</v>
      </c>
      <c r="J123" s="123">
        <v>10947.49</v>
      </c>
      <c r="K123" s="123">
        <v>13143.73</v>
      </c>
      <c r="L123" s="123">
        <v>13534.47</v>
      </c>
      <c r="M123" s="37"/>
      <c r="N123" s="37"/>
      <c r="O123" s="37"/>
      <c r="P123" s="91"/>
      <c r="Q123" s="91"/>
      <c r="R123" s="91"/>
      <c r="S123" s="91"/>
      <c r="T123" s="91"/>
      <c r="U123" s="91"/>
      <c r="V123" s="91"/>
      <c r="W123" s="91"/>
      <c r="X123" s="91"/>
      <c r="Y123" s="91"/>
      <c r="Z123" s="91"/>
    </row>
    <row r="124">
      <c r="A124" s="106" t="s">
        <v>529</v>
      </c>
      <c r="B124" s="134"/>
      <c r="C124" s="125">
        <v>0.6359</v>
      </c>
      <c r="D124" s="125">
        <v>0.6038</v>
      </c>
      <c r="E124" s="125">
        <v>0.5668</v>
      </c>
      <c r="F124" s="125">
        <v>0.5448</v>
      </c>
      <c r="G124" s="106" t="s">
        <v>529</v>
      </c>
      <c r="H124" s="106">
        <v>26376.24</v>
      </c>
      <c r="I124" s="106">
        <v>27208.17</v>
      </c>
      <c r="J124" s="106">
        <v>36331.92</v>
      </c>
      <c r="K124" s="106">
        <v>46209.55</v>
      </c>
      <c r="L124" s="106">
        <v>46820.95</v>
      </c>
      <c r="M124" s="103"/>
      <c r="N124" s="103"/>
      <c r="O124" s="103"/>
      <c r="P124" s="126"/>
      <c r="Q124" s="126"/>
      <c r="R124" s="126"/>
      <c r="S124" s="126"/>
      <c r="T124" s="126"/>
      <c r="U124" s="126"/>
      <c r="V124" s="126"/>
      <c r="W124" s="126"/>
      <c r="X124" s="126"/>
      <c r="Y124" s="126"/>
      <c r="Z124" s="126"/>
    </row>
    <row r="125">
      <c r="A125" s="91"/>
      <c r="B125" s="91"/>
      <c r="C125" s="91"/>
      <c r="D125" s="91"/>
      <c r="E125" s="91"/>
      <c r="F125" s="91"/>
      <c r="G125" s="91"/>
      <c r="H125" s="91"/>
      <c r="I125" s="91"/>
      <c r="J125" s="91"/>
      <c r="K125" s="91"/>
      <c r="L125" s="91"/>
      <c r="M125" s="37"/>
      <c r="N125" s="37"/>
      <c r="O125" s="37"/>
      <c r="P125" s="91"/>
      <c r="Q125" s="91"/>
      <c r="R125" s="91"/>
      <c r="S125" s="91"/>
      <c r="T125" s="91"/>
      <c r="U125" s="91"/>
      <c r="V125" s="91"/>
      <c r="W125" s="91"/>
      <c r="X125" s="91"/>
      <c r="Y125" s="91"/>
      <c r="Z125" s="91"/>
    </row>
    <row r="126">
      <c r="A126" s="91"/>
      <c r="B126" s="91"/>
      <c r="C126" s="91"/>
      <c r="D126" s="91"/>
      <c r="E126" s="91"/>
      <c r="F126" s="91"/>
      <c r="G126" s="91"/>
      <c r="H126" s="91"/>
      <c r="I126" s="91"/>
      <c r="J126" s="91"/>
      <c r="K126" s="91"/>
      <c r="L126" s="91"/>
      <c r="M126" s="37"/>
      <c r="N126" s="37"/>
      <c r="O126" s="37"/>
      <c r="P126" s="91"/>
      <c r="Q126" s="91"/>
      <c r="R126" s="91"/>
      <c r="S126" s="91"/>
      <c r="T126" s="91"/>
      <c r="U126" s="91"/>
      <c r="V126" s="91"/>
      <c r="W126" s="91"/>
      <c r="X126" s="91"/>
      <c r="Y126" s="91"/>
      <c r="Z126" s="91"/>
    </row>
    <row r="127">
      <c r="A127" s="130" t="s">
        <v>555</v>
      </c>
      <c r="B127" s="53" t="s">
        <v>142</v>
      </c>
      <c r="C127" s="53" t="s">
        <v>148</v>
      </c>
      <c r="D127" s="53" t="s">
        <v>150</v>
      </c>
      <c r="E127" s="53" t="s">
        <v>152</v>
      </c>
      <c r="F127" s="53" t="s">
        <v>153</v>
      </c>
      <c r="G127" s="131" t="s">
        <v>555</v>
      </c>
      <c r="H127" s="132" t="s">
        <v>550</v>
      </c>
      <c r="I127" s="132" t="s">
        <v>551</v>
      </c>
      <c r="J127" s="132" t="s">
        <v>552</v>
      </c>
      <c r="K127" s="132" t="s">
        <v>553</v>
      </c>
      <c r="L127" s="132" t="s">
        <v>554</v>
      </c>
      <c r="M127" s="37"/>
      <c r="N127" s="37"/>
      <c r="O127" s="37"/>
      <c r="P127" s="91"/>
      <c r="Q127" s="91"/>
      <c r="R127" s="91"/>
      <c r="S127" s="91"/>
      <c r="T127" s="91"/>
      <c r="U127" s="91"/>
      <c r="V127" s="91"/>
      <c r="W127" s="91"/>
      <c r="X127" s="91"/>
      <c r="Y127" s="91"/>
      <c r="Z127" s="91"/>
    </row>
    <row r="128">
      <c r="A128" s="123" t="s">
        <v>535</v>
      </c>
      <c r="B128" s="133"/>
      <c r="C128" s="124">
        <v>0.26</v>
      </c>
      <c r="D128" s="124">
        <v>0.5337</v>
      </c>
      <c r="E128" s="124">
        <v>0.5269</v>
      </c>
      <c r="F128" s="124">
        <v>0.4369</v>
      </c>
      <c r="G128" s="123" t="s">
        <v>535</v>
      </c>
      <c r="H128" s="123">
        <v>26690.14</v>
      </c>
      <c r="I128" s="123">
        <v>61274.38</v>
      </c>
      <c r="J128" s="123">
        <v>73926.3</v>
      </c>
      <c r="K128" s="123">
        <v>75050.21</v>
      </c>
      <c r="L128" s="123">
        <v>102831.7</v>
      </c>
      <c r="M128" s="37"/>
      <c r="N128" s="37"/>
      <c r="O128" s="37"/>
      <c r="P128" s="91"/>
      <c r="Q128" s="91"/>
      <c r="R128" s="91"/>
      <c r="S128" s="91"/>
      <c r="T128" s="91"/>
      <c r="U128" s="91"/>
      <c r="V128" s="91"/>
      <c r="W128" s="91"/>
      <c r="X128" s="91"/>
      <c r="Y128" s="91"/>
      <c r="Z128" s="91"/>
    </row>
    <row r="129">
      <c r="A129" s="123" t="s">
        <v>536</v>
      </c>
      <c r="B129" s="133"/>
      <c r="C129" s="124">
        <v>0.74</v>
      </c>
      <c r="D129" s="124">
        <v>0.4663</v>
      </c>
      <c r="E129" s="124">
        <v>0.4731</v>
      </c>
      <c r="F129" s="124">
        <v>0.5631</v>
      </c>
      <c r="G129" s="123" t="s">
        <v>536</v>
      </c>
      <c r="H129" s="123">
        <v>75962.21</v>
      </c>
      <c r="I129" s="123">
        <v>53542.89</v>
      </c>
      <c r="J129" s="123">
        <v>66376.35</v>
      </c>
      <c r="K129" s="123">
        <v>96722.1</v>
      </c>
      <c r="L129" s="123">
        <v>94720.88</v>
      </c>
      <c r="M129" s="37"/>
      <c r="N129" s="37"/>
      <c r="O129" s="37"/>
      <c r="P129" s="91"/>
      <c r="Q129" s="91"/>
      <c r="R129" s="91"/>
      <c r="S129" s="91"/>
      <c r="T129" s="91"/>
      <c r="U129" s="91"/>
      <c r="V129" s="91"/>
      <c r="W129" s="91"/>
      <c r="X129" s="91"/>
      <c r="Y129" s="91"/>
      <c r="Z129" s="91"/>
    </row>
    <row r="130">
      <c r="A130" s="106" t="s">
        <v>537</v>
      </c>
      <c r="B130" s="125">
        <v>1.0</v>
      </c>
      <c r="C130" s="125">
        <v>1.0</v>
      </c>
      <c r="D130" s="125">
        <v>1.0</v>
      </c>
      <c r="E130" s="125">
        <v>1.0</v>
      </c>
      <c r="F130" s="125">
        <v>1.0</v>
      </c>
      <c r="G130" s="106" t="s">
        <v>537</v>
      </c>
      <c r="H130" s="106">
        <v>102652.4</v>
      </c>
      <c r="I130" s="106">
        <v>114817.3</v>
      </c>
      <c r="J130" s="106">
        <v>140302.7</v>
      </c>
      <c r="K130" s="106">
        <v>171772.3</v>
      </c>
      <c r="L130" s="106">
        <v>197552.5</v>
      </c>
      <c r="M130" s="37"/>
      <c r="N130" s="37"/>
      <c r="O130" s="37"/>
      <c r="P130" s="126"/>
      <c r="Q130" s="126"/>
      <c r="R130" s="126"/>
      <c r="S130" s="126"/>
      <c r="T130" s="126"/>
      <c r="U130" s="126"/>
      <c r="V130" s="126"/>
      <c r="W130" s="126"/>
      <c r="X130" s="126"/>
      <c r="Y130" s="126"/>
      <c r="Z130" s="126"/>
    </row>
    <row r="131">
      <c r="A131" s="123" t="s">
        <v>538</v>
      </c>
      <c r="B131" s="133"/>
      <c r="C131" s="124">
        <v>0.8282</v>
      </c>
      <c r="D131" s="124">
        <v>0.8412</v>
      </c>
      <c r="E131" s="124">
        <v>0.8267</v>
      </c>
      <c r="F131" s="124">
        <v>0.81</v>
      </c>
      <c r="G131" s="123" t="s">
        <v>538</v>
      </c>
      <c r="H131" s="123">
        <v>85012.69</v>
      </c>
      <c r="I131" s="123">
        <v>96585.54</v>
      </c>
      <c r="J131" s="123">
        <v>115987.8</v>
      </c>
      <c r="K131" s="123">
        <v>139128.5</v>
      </c>
      <c r="L131" s="123">
        <v>159817.2</v>
      </c>
      <c r="M131" s="37"/>
      <c r="N131" s="37"/>
      <c r="O131" s="37"/>
      <c r="P131" s="91"/>
      <c r="Q131" s="91"/>
      <c r="R131" s="91"/>
      <c r="S131" s="91"/>
      <c r="T131" s="91"/>
      <c r="U131" s="91"/>
      <c r="V131" s="91"/>
      <c r="W131" s="91"/>
      <c r="X131" s="91"/>
      <c r="Y131" s="91"/>
      <c r="Z131" s="91"/>
    </row>
    <row r="132">
      <c r="A132" s="123" t="s">
        <v>539</v>
      </c>
      <c r="B132" s="133"/>
      <c r="C132" s="124">
        <v>0.0105</v>
      </c>
      <c r="D132" s="124">
        <v>0.0102</v>
      </c>
      <c r="E132" s="124">
        <v>0.0202</v>
      </c>
      <c r="F132" s="124">
        <v>0.0188</v>
      </c>
      <c r="G132" s="123" t="s">
        <v>539</v>
      </c>
      <c r="H132" s="123">
        <v>1074.15</v>
      </c>
      <c r="I132" s="123">
        <v>1172.95</v>
      </c>
      <c r="J132" s="123">
        <v>2829.32</v>
      </c>
      <c r="K132" s="123">
        <v>3233.36</v>
      </c>
      <c r="L132" s="123">
        <v>3448.47</v>
      </c>
      <c r="M132" s="37"/>
      <c r="N132" s="37"/>
      <c r="O132" s="37"/>
      <c r="P132" s="91"/>
      <c r="Q132" s="91"/>
      <c r="R132" s="91"/>
      <c r="S132" s="91"/>
      <c r="T132" s="91"/>
      <c r="U132" s="91"/>
      <c r="V132" s="91"/>
      <c r="W132" s="91"/>
      <c r="X132" s="91"/>
      <c r="Y132" s="91"/>
      <c r="Z132" s="91"/>
    </row>
    <row r="133">
      <c r="A133" s="123" t="s">
        <v>540</v>
      </c>
      <c r="B133" s="133"/>
      <c r="C133" s="124">
        <v>0.1614</v>
      </c>
      <c r="D133" s="124">
        <v>0.1486</v>
      </c>
      <c r="E133" s="124">
        <v>0.1531</v>
      </c>
      <c r="F133" s="124">
        <v>0.1712</v>
      </c>
      <c r="G133" s="123" t="s">
        <v>540</v>
      </c>
      <c r="H133" s="123">
        <v>16565.51</v>
      </c>
      <c r="I133" s="123">
        <v>17058.78</v>
      </c>
      <c r="J133" s="123">
        <v>21485.57</v>
      </c>
      <c r="K133" s="123">
        <v>29410.49</v>
      </c>
      <c r="L133" s="123">
        <v>34286.9</v>
      </c>
      <c r="M133" s="37"/>
      <c r="N133" s="37"/>
      <c r="O133" s="37"/>
      <c r="P133" s="91"/>
      <c r="Q133" s="91"/>
      <c r="R133" s="91"/>
      <c r="S133" s="91"/>
      <c r="T133" s="91"/>
      <c r="U133" s="91"/>
      <c r="V133" s="91"/>
      <c r="W133" s="91"/>
      <c r="X133" s="91"/>
      <c r="Y133" s="91"/>
      <c r="Z133" s="91"/>
    </row>
    <row r="134">
      <c r="A134" s="123" t="s">
        <v>541</v>
      </c>
      <c r="B134" s="133"/>
      <c r="C134" s="124">
        <v>0.1718</v>
      </c>
      <c r="D134" s="124">
        <v>0.1588</v>
      </c>
      <c r="E134" s="124">
        <v>0.1733</v>
      </c>
      <c r="F134" s="124">
        <v>0.19</v>
      </c>
      <c r="G134" s="123" t="s">
        <v>541</v>
      </c>
      <c r="H134" s="123">
        <v>17639.66</v>
      </c>
      <c r="I134" s="123">
        <v>18231.73</v>
      </c>
      <c r="J134" s="123">
        <v>24314.89</v>
      </c>
      <c r="K134" s="123">
        <v>32643.85</v>
      </c>
      <c r="L134" s="123">
        <v>37735.37</v>
      </c>
      <c r="M134" s="37"/>
      <c r="N134" s="37"/>
      <c r="O134" s="37"/>
      <c r="P134" s="91"/>
      <c r="Q134" s="91"/>
      <c r="R134" s="91"/>
      <c r="S134" s="91"/>
      <c r="T134" s="91"/>
      <c r="U134" s="91"/>
      <c r="V134" s="91"/>
      <c r="W134" s="91"/>
      <c r="X134" s="91"/>
      <c r="Y134" s="91"/>
      <c r="Z134" s="91"/>
    </row>
    <row r="135">
      <c r="A135" s="98" t="s">
        <v>556</v>
      </c>
      <c r="B135" s="135"/>
      <c r="C135" s="135">
        <f t="shared" ref="C135:F135" si="1">IMSUM(C129,-C133)*100</f>
        <v>57.86</v>
      </c>
      <c r="D135" s="135">
        <f t="shared" si="1"/>
        <v>31.77</v>
      </c>
      <c r="E135" s="135">
        <f t="shared" si="1"/>
        <v>32</v>
      </c>
      <c r="F135" s="135">
        <f t="shared" si="1"/>
        <v>39.19</v>
      </c>
      <c r="G135" s="135"/>
      <c r="H135" s="135" t="str">
        <f t="shared" ref="H135:L135" si="2">IMSUM(H129,-H133)</f>
        <v>59396.7</v>
      </c>
      <c r="I135" s="135" t="str">
        <f t="shared" si="2"/>
        <v>36484.11</v>
      </c>
      <c r="J135" s="135" t="str">
        <f t="shared" si="2"/>
        <v>44890.78</v>
      </c>
      <c r="K135" s="135" t="str">
        <f t="shared" si="2"/>
        <v>67311.61</v>
      </c>
      <c r="L135" s="135" t="str">
        <f t="shared" si="2"/>
        <v>60433.98</v>
      </c>
      <c r="M135" s="72" t="s">
        <v>557</v>
      </c>
      <c r="N135" s="16"/>
      <c r="O135" s="5"/>
      <c r="P135" s="126"/>
      <c r="Q135" s="126"/>
      <c r="R135" s="126"/>
      <c r="S135" s="126"/>
      <c r="T135" s="126"/>
      <c r="U135" s="126"/>
      <c r="V135" s="126"/>
      <c r="W135" s="126"/>
      <c r="X135" s="126"/>
      <c r="Y135" s="126"/>
      <c r="Z135" s="126"/>
    </row>
    <row r="136">
      <c r="A136" s="136"/>
      <c r="B136" s="136"/>
      <c r="C136" s="136"/>
      <c r="D136" s="136"/>
      <c r="E136" s="136"/>
      <c r="F136" s="136"/>
      <c r="G136" s="136"/>
      <c r="H136" s="136"/>
      <c r="I136" s="136"/>
      <c r="J136" s="136"/>
      <c r="K136" s="136"/>
      <c r="L136" s="137"/>
      <c r="M136" s="138"/>
      <c r="N136" s="138"/>
      <c r="O136" s="37"/>
      <c r="P136" s="37"/>
      <c r="Q136" s="37"/>
      <c r="R136" s="37"/>
      <c r="S136" s="37"/>
      <c r="T136" s="37"/>
      <c r="U136" s="37"/>
      <c r="V136" s="37"/>
      <c r="W136" s="37"/>
      <c r="X136" s="37"/>
      <c r="Y136" s="37"/>
      <c r="Z136" s="37"/>
    </row>
    <row r="137">
      <c r="A137" s="136"/>
      <c r="B137" s="136"/>
      <c r="C137" s="136"/>
      <c r="D137" s="136"/>
      <c r="E137" s="136"/>
      <c r="F137" s="136"/>
      <c r="G137" s="136"/>
      <c r="H137" s="136"/>
      <c r="I137" s="136"/>
      <c r="J137" s="136"/>
      <c r="K137" s="136"/>
      <c r="L137" s="137"/>
      <c r="M137" s="138"/>
      <c r="N137" s="138"/>
      <c r="O137" s="37"/>
      <c r="P137" s="37"/>
      <c r="Q137" s="37"/>
      <c r="R137" s="37"/>
      <c r="S137" s="37"/>
      <c r="T137" s="37"/>
      <c r="U137" s="37"/>
      <c r="V137" s="37"/>
      <c r="W137" s="37"/>
      <c r="X137" s="37"/>
      <c r="Y137" s="37"/>
      <c r="Z137" s="37"/>
    </row>
    <row r="138">
      <c r="A138" s="127" t="s">
        <v>542</v>
      </c>
      <c r="B138" s="16"/>
      <c r="C138" s="16"/>
      <c r="D138" s="16"/>
      <c r="E138" s="16"/>
      <c r="F138" s="16"/>
      <c r="G138" s="16"/>
      <c r="H138" s="16"/>
      <c r="I138" s="16"/>
      <c r="J138" s="16"/>
      <c r="K138" s="16"/>
      <c r="L138" s="5"/>
      <c r="M138" s="139"/>
      <c r="N138" s="139"/>
      <c r="O138" s="37"/>
      <c r="P138" s="37"/>
      <c r="Q138" s="37"/>
      <c r="R138" s="37"/>
      <c r="S138" s="37"/>
      <c r="T138" s="37"/>
      <c r="U138" s="37"/>
      <c r="V138" s="37"/>
      <c r="W138" s="37"/>
      <c r="X138" s="37"/>
      <c r="Y138" s="37"/>
      <c r="Z138" s="37"/>
    </row>
    <row r="139">
      <c r="A139" s="71" t="s">
        <v>558</v>
      </c>
      <c r="B139" s="72" t="s">
        <v>559</v>
      </c>
      <c r="C139" s="16"/>
      <c r="D139" s="16"/>
      <c r="E139" s="16"/>
      <c r="F139" s="16"/>
      <c r="G139" s="16"/>
      <c r="H139" s="16"/>
      <c r="I139" s="16"/>
      <c r="J139" s="16"/>
      <c r="K139" s="16"/>
      <c r="L139" s="5"/>
      <c r="M139" s="37"/>
      <c r="N139" s="37"/>
      <c r="O139" s="37"/>
      <c r="P139" s="37"/>
      <c r="Q139" s="37"/>
      <c r="R139" s="37"/>
      <c r="S139" s="37"/>
      <c r="T139" s="37"/>
      <c r="U139" s="37"/>
      <c r="V139" s="37"/>
      <c r="W139" s="37"/>
      <c r="X139" s="37"/>
      <c r="Y139" s="37"/>
      <c r="Z139" s="37"/>
    </row>
    <row r="140">
      <c r="A140" s="71" t="s">
        <v>560</v>
      </c>
      <c r="B140" s="72" t="s">
        <v>561</v>
      </c>
      <c r="C140" s="16"/>
      <c r="D140" s="16"/>
      <c r="E140" s="16"/>
      <c r="F140" s="16"/>
      <c r="G140" s="16"/>
      <c r="H140" s="16"/>
      <c r="I140" s="16"/>
      <c r="J140" s="16"/>
      <c r="K140" s="16"/>
      <c r="L140" s="5"/>
      <c r="M140" s="37"/>
      <c r="N140" s="37"/>
      <c r="O140" s="37"/>
      <c r="P140" s="37"/>
      <c r="Q140" s="37"/>
      <c r="R140" s="37"/>
      <c r="S140" s="37"/>
      <c r="T140" s="37"/>
      <c r="U140" s="37"/>
      <c r="V140" s="37"/>
      <c r="W140" s="37"/>
      <c r="X140" s="37"/>
      <c r="Y140" s="37"/>
      <c r="Z140" s="37"/>
    </row>
    <row r="141">
      <c r="A141" s="71" t="s">
        <v>562</v>
      </c>
      <c r="B141" s="72" t="s">
        <v>563</v>
      </c>
      <c r="C141" s="16"/>
      <c r="D141" s="16"/>
      <c r="E141" s="16"/>
      <c r="F141" s="16"/>
      <c r="G141" s="16"/>
      <c r="H141" s="16"/>
      <c r="I141" s="16"/>
      <c r="J141" s="16"/>
      <c r="K141" s="16"/>
      <c r="L141" s="5"/>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70" t="s">
        <v>267</v>
      </c>
      <c r="B144" s="16"/>
      <c r="C144" s="16"/>
      <c r="D144" s="16"/>
      <c r="E144" s="16"/>
      <c r="F144" s="16"/>
      <c r="G144" s="16"/>
      <c r="H144" s="16"/>
      <c r="I144" s="16"/>
      <c r="J144" s="16"/>
      <c r="K144" s="16"/>
      <c r="L144" s="5"/>
      <c r="M144" s="91"/>
      <c r="N144" s="91"/>
      <c r="O144" s="91"/>
      <c r="P144" s="91"/>
      <c r="Q144" s="91"/>
      <c r="R144" s="91"/>
      <c r="S144" s="91"/>
      <c r="T144" s="91"/>
      <c r="U144" s="91"/>
      <c r="V144" s="91"/>
      <c r="W144" s="91"/>
      <c r="X144" s="91"/>
      <c r="Y144" s="91"/>
      <c r="Z144" s="91"/>
    </row>
    <row r="145">
      <c r="A145" s="131" t="s">
        <v>564</v>
      </c>
      <c r="B145" s="131" t="s">
        <v>337</v>
      </c>
      <c r="C145" s="131" t="s">
        <v>142</v>
      </c>
      <c r="D145" s="131" t="s">
        <v>148</v>
      </c>
      <c r="E145" s="131" t="s">
        <v>150</v>
      </c>
      <c r="F145" s="131" t="s">
        <v>152</v>
      </c>
      <c r="G145" s="131" t="s">
        <v>153</v>
      </c>
      <c r="H145" s="140" t="s">
        <v>565</v>
      </c>
      <c r="I145" s="5"/>
      <c r="J145" s="141"/>
      <c r="K145" s="142"/>
      <c r="L145" s="143"/>
      <c r="M145" s="91"/>
      <c r="N145" s="91"/>
      <c r="O145" s="91"/>
      <c r="P145" s="91"/>
      <c r="Q145" s="91"/>
      <c r="R145" s="91"/>
      <c r="S145" s="91"/>
      <c r="T145" s="91"/>
      <c r="U145" s="91"/>
      <c r="V145" s="91"/>
      <c r="W145" s="91"/>
      <c r="X145" s="91"/>
      <c r="Y145" s="91"/>
      <c r="Z145" s="91"/>
    </row>
    <row r="146">
      <c r="A146" s="123" t="s">
        <v>566</v>
      </c>
      <c r="B146" s="123" t="s">
        <v>567</v>
      </c>
      <c r="C146" s="123" t="s">
        <v>354</v>
      </c>
      <c r="D146" s="123" t="s">
        <v>354</v>
      </c>
      <c r="E146" s="123" t="s">
        <v>354</v>
      </c>
      <c r="F146" s="123" t="s">
        <v>354</v>
      </c>
      <c r="G146" s="123" t="s">
        <v>354</v>
      </c>
      <c r="H146" s="144" t="s">
        <v>568</v>
      </c>
      <c r="I146" s="5"/>
      <c r="J146" s="133"/>
      <c r="K146" s="145"/>
      <c r="L146" s="146"/>
      <c r="M146" s="91"/>
      <c r="N146" s="91"/>
      <c r="O146" s="91"/>
      <c r="P146" s="91"/>
      <c r="Q146" s="91"/>
      <c r="R146" s="91"/>
      <c r="S146" s="91"/>
      <c r="T146" s="91"/>
      <c r="U146" s="91"/>
      <c r="V146" s="91"/>
      <c r="W146" s="91"/>
      <c r="X146" s="91"/>
      <c r="Y146" s="91"/>
      <c r="Z146" s="91"/>
    </row>
    <row r="147">
      <c r="A147" s="123" t="s">
        <v>569</v>
      </c>
      <c r="B147" s="123" t="s">
        <v>570</v>
      </c>
      <c r="C147" s="124">
        <v>0.8376</v>
      </c>
      <c r="D147" s="124">
        <v>0.7996</v>
      </c>
      <c r="E147" s="124">
        <v>0.7708</v>
      </c>
      <c r="F147" s="124">
        <v>0.7476</v>
      </c>
      <c r="G147" s="124">
        <v>0.6849</v>
      </c>
      <c r="H147" s="147"/>
      <c r="I147" s="5"/>
      <c r="J147" s="133"/>
      <c r="K147" s="145"/>
      <c r="L147" s="146"/>
      <c r="M147" s="91"/>
      <c r="N147" s="91"/>
      <c r="O147" s="91"/>
      <c r="P147" s="91"/>
      <c r="Q147" s="91"/>
      <c r="R147" s="91"/>
      <c r="S147" s="91"/>
      <c r="T147" s="91"/>
      <c r="U147" s="91"/>
      <c r="V147" s="91"/>
      <c r="W147" s="91"/>
      <c r="X147" s="91"/>
      <c r="Y147" s="91"/>
      <c r="Z147" s="91"/>
    </row>
    <row r="148">
      <c r="A148" s="123" t="s">
        <v>350</v>
      </c>
      <c r="B148" s="123" t="s">
        <v>571</v>
      </c>
      <c r="C148" s="124">
        <v>0.6359</v>
      </c>
      <c r="D148" s="124">
        <v>0.6039</v>
      </c>
      <c r="E148" s="124">
        <v>0.5668</v>
      </c>
      <c r="F148" s="124">
        <v>0.5448</v>
      </c>
      <c r="G148" s="124">
        <v>0.4875</v>
      </c>
      <c r="H148" s="147"/>
      <c r="I148" s="5"/>
      <c r="J148" s="133"/>
      <c r="K148" s="145"/>
      <c r="L148" s="146"/>
      <c r="M148" s="91"/>
      <c r="N148" s="91"/>
      <c r="O148" s="91"/>
      <c r="P148" s="91"/>
      <c r="Q148" s="91"/>
      <c r="R148" s="91"/>
      <c r="S148" s="91"/>
      <c r="T148" s="91"/>
      <c r="U148" s="91"/>
      <c r="V148" s="91"/>
      <c r="W148" s="91"/>
      <c r="X148" s="91"/>
      <c r="Y148" s="91"/>
      <c r="Z148" s="91"/>
    </row>
    <row r="149">
      <c r="A149" s="123" t="s">
        <v>353</v>
      </c>
      <c r="B149" s="123" t="s">
        <v>572</v>
      </c>
      <c r="C149" s="124">
        <v>0.3103</v>
      </c>
      <c r="D149" s="124">
        <v>0.2991</v>
      </c>
      <c r="E149" s="124">
        <v>0.3407</v>
      </c>
      <c r="F149" s="124">
        <v>0.3611</v>
      </c>
      <c r="G149" s="124">
        <v>0.3133</v>
      </c>
      <c r="H149" s="144" t="s">
        <v>573</v>
      </c>
      <c r="I149" s="5"/>
      <c r="J149" s="148" t="s">
        <v>445</v>
      </c>
      <c r="K149" s="16"/>
      <c r="L149" s="5"/>
      <c r="M149" s="91"/>
      <c r="N149" s="91"/>
      <c r="O149" s="91"/>
      <c r="P149" s="91"/>
      <c r="Q149" s="91"/>
      <c r="R149" s="91"/>
      <c r="S149" s="91"/>
      <c r="T149" s="91"/>
      <c r="U149" s="91"/>
      <c r="V149" s="91"/>
      <c r="W149" s="91"/>
      <c r="X149" s="91"/>
      <c r="Y149" s="91"/>
      <c r="Z149" s="91"/>
    </row>
    <row r="150">
      <c r="A150" s="123" t="s">
        <v>356</v>
      </c>
      <c r="B150" s="123" t="s">
        <v>574</v>
      </c>
      <c r="C150" s="124">
        <v>0.3954</v>
      </c>
      <c r="D150" s="124">
        <v>0.3461</v>
      </c>
      <c r="E150" s="124">
        <v>0.4016</v>
      </c>
      <c r="F150" s="124">
        <v>0.418</v>
      </c>
      <c r="G150" s="124">
        <v>0.3693</v>
      </c>
      <c r="H150" s="144" t="s">
        <v>575</v>
      </c>
      <c r="I150" s="5"/>
      <c r="J150" s="148" t="s">
        <v>576</v>
      </c>
      <c r="K150" s="16"/>
      <c r="L150" s="5"/>
      <c r="M150" s="91"/>
      <c r="N150" s="91"/>
      <c r="O150" s="91"/>
      <c r="P150" s="91"/>
      <c r="Q150" s="91"/>
      <c r="R150" s="91"/>
      <c r="S150" s="91"/>
      <c r="T150" s="91"/>
      <c r="U150" s="91"/>
      <c r="V150" s="91"/>
      <c r="W150" s="91"/>
      <c r="X150" s="91"/>
      <c r="Y150" s="91"/>
      <c r="Z150" s="91"/>
    </row>
    <row r="151">
      <c r="A151" s="149" t="s">
        <v>577</v>
      </c>
      <c r="B151" s="131" t="s">
        <v>337</v>
      </c>
      <c r="C151" s="131" t="s">
        <v>142</v>
      </c>
      <c r="D151" s="131" t="s">
        <v>148</v>
      </c>
      <c r="E151" s="131" t="s">
        <v>150</v>
      </c>
      <c r="F151" s="131" t="s">
        <v>152</v>
      </c>
      <c r="G151" s="131" t="s">
        <v>153</v>
      </c>
      <c r="H151" s="140" t="s">
        <v>565</v>
      </c>
      <c r="I151" s="5"/>
      <c r="J151" s="141"/>
      <c r="K151" s="142"/>
      <c r="L151" s="143"/>
      <c r="M151" s="91"/>
      <c r="N151" s="91"/>
      <c r="O151" s="91"/>
      <c r="P151" s="91"/>
      <c r="Q151" s="91"/>
      <c r="R151" s="91"/>
      <c r="S151" s="91"/>
      <c r="T151" s="91"/>
      <c r="U151" s="91"/>
      <c r="V151" s="91"/>
      <c r="W151" s="91"/>
      <c r="X151" s="91"/>
      <c r="Y151" s="91"/>
      <c r="Z151" s="91"/>
    </row>
    <row r="152">
      <c r="A152" s="123" t="s">
        <v>578</v>
      </c>
      <c r="B152" s="123" t="s">
        <v>579</v>
      </c>
      <c r="C152" s="123">
        <v>4.59</v>
      </c>
      <c r="D152" s="123">
        <v>3.14</v>
      </c>
      <c r="E152" s="123">
        <v>3.09</v>
      </c>
      <c r="F152" s="123">
        <v>3.29</v>
      </c>
      <c r="G152" s="123">
        <v>2.76</v>
      </c>
      <c r="H152" s="147"/>
      <c r="I152" s="5"/>
      <c r="J152" s="133"/>
      <c r="K152" s="145"/>
      <c r="L152" s="146"/>
      <c r="M152" s="91"/>
      <c r="N152" s="91"/>
      <c r="O152" s="91"/>
      <c r="P152" s="91"/>
      <c r="Q152" s="91"/>
      <c r="R152" s="91"/>
      <c r="S152" s="91"/>
      <c r="T152" s="91"/>
      <c r="U152" s="91"/>
      <c r="V152" s="91"/>
      <c r="W152" s="91"/>
      <c r="X152" s="91"/>
      <c r="Y152" s="91"/>
      <c r="Z152" s="91"/>
    </row>
    <row r="153">
      <c r="A153" s="123" t="s">
        <v>580</v>
      </c>
      <c r="B153" s="123" t="s">
        <v>581</v>
      </c>
      <c r="C153" s="123">
        <v>4.59</v>
      </c>
      <c r="D153" s="123">
        <v>3.14</v>
      </c>
      <c r="E153" s="123">
        <v>3.09</v>
      </c>
      <c r="F153" s="123">
        <v>3.29</v>
      </c>
      <c r="G153" s="123">
        <v>2.76</v>
      </c>
      <c r="H153" s="144" t="s">
        <v>582</v>
      </c>
      <c r="I153" s="5"/>
      <c r="J153" s="133"/>
      <c r="K153" s="145"/>
      <c r="L153" s="146"/>
      <c r="M153" s="91"/>
      <c r="N153" s="91"/>
      <c r="O153" s="91"/>
      <c r="P153" s="91"/>
      <c r="Q153" s="91"/>
      <c r="R153" s="91"/>
      <c r="S153" s="91"/>
      <c r="T153" s="91"/>
      <c r="U153" s="91"/>
      <c r="V153" s="91"/>
      <c r="W153" s="91"/>
      <c r="X153" s="91"/>
      <c r="Y153" s="91"/>
      <c r="Z153" s="91"/>
    </row>
    <row r="154">
      <c r="A154" s="149" t="s">
        <v>583</v>
      </c>
      <c r="B154" s="131" t="s">
        <v>337</v>
      </c>
      <c r="C154" s="131" t="s">
        <v>142</v>
      </c>
      <c r="D154" s="131" t="s">
        <v>148</v>
      </c>
      <c r="E154" s="131" t="s">
        <v>150</v>
      </c>
      <c r="F154" s="131" t="s">
        <v>152</v>
      </c>
      <c r="G154" s="131" t="s">
        <v>153</v>
      </c>
      <c r="H154" s="140" t="s">
        <v>565</v>
      </c>
      <c r="I154" s="5"/>
      <c r="J154" s="141"/>
      <c r="K154" s="142"/>
      <c r="L154" s="143"/>
      <c r="M154" s="91"/>
      <c r="N154" s="91"/>
      <c r="O154" s="91"/>
      <c r="P154" s="91"/>
      <c r="Q154" s="91"/>
      <c r="R154" s="91"/>
      <c r="S154" s="91"/>
      <c r="T154" s="91"/>
      <c r="U154" s="91"/>
      <c r="V154" s="91"/>
      <c r="W154" s="91"/>
      <c r="X154" s="91"/>
      <c r="Y154" s="91"/>
      <c r="Z154" s="91"/>
    </row>
    <row r="155">
      <c r="A155" s="123" t="s">
        <v>360</v>
      </c>
      <c r="B155" s="123" t="s">
        <v>584</v>
      </c>
      <c r="C155" s="86">
        <v>1.3E-4</v>
      </c>
      <c r="D155" s="86">
        <v>1.0E-4</v>
      </c>
      <c r="E155" s="86">
        <v>2.3E-4</v>
      </c>
      <c r="F155" s="86">
        <v>0.00166</v>
      </c>
      <c r="G155" s="86">
        <v>9.8E-4</v>
      </c>
      <c r="H155" s="128" t="s">
        <v>585</v>
      </c>
      <c r="I155" s="16"/>
      <c r="J155" s="16"/>
      <c r="K155" s="16"/>
      <c r="L155" s="5"/>
      <c r="M155" s="91"/>
      <c r="N155" s="91"/>
      <c r="O155" s="91"/>
      <c r="P155" s="91"/>
      <c r="Q155" s="91"/>
      <c r="R155" s="91"/>
      <c r="S155" s="91"/>
      <c r="T155" s="91"/>
      <c r="U155" s="91"/>
      <c r="V155" s="91"/>
      <c r="W155" s="91"/>
      <c r="X155" s="91"/>
      <c r="Y155" s="91"/>
      <c r="Z155" s="91"/>
    </row>
    <row r="156">
      <c r="A156" s="123" t="s">
        <v>586</v>
      </c>
      <c r="B156" s="123" t="s">
        <v>587</v>
      </c>
      <c r="C156" s="123">
        <v>41140.84</v>
      </c>
      <c r="D156" s="123">
        <v>63669.22</v>
      </c>
      <c r="E156" s="123">
        <v>27330.31</v>
      </c>
      <c r="F156" s="123">
        <v>10926.87</v>
      </c>
      <c r="G156" s="123">
        <v>4368.25</v>
      </c>
      <c r="H156" s="147"/>
      <c r="I156" s="5"/>
      <c r="J156" s="133"/>
      <c r="K156" s="145"/>
      <c r="L156" s="146"/>
      <c r="M156" s="91"/>
      <c r="N156" s="91"/>
      <c r="O156" s="91"/>
      <c r="P156" s="91"/>
      <c r="Q156" s="91"/>
      <c r="R156" s="91"/>
      <c r="S156" s="91"/>
      <c r="T156" s="91"/>
      <c r="U156" s="91"/>
      <c r="V156" s="91"/>
      <c r="W156" s="91"/>
      <c r="X156" s="91"/>
      <c r="Y156" s="91"/>
      <c r="Z156" s="91"/>
    </row>
    <row r="157">
      <c r="A157" s="149" t="s">
        <v>588</v>
      </c>
      <c r="B157" s="131" t="s">
        <v>337</v>
      </c>
      <c r="C157" s="131" t="s">
        <v>142</v>
      </c>
      <c r="D157" s="131" t="s">
        <v>148</v>
      </c>
      <c r="E157" s="131" t="s">
        <v>150</v>
      </c>
      <c r="F157" s="131" t="s">
        <v>152</v>
      </c>
      <c r="G157" s="131" t="s">
        <v>153</v>
      </c>
      <c r="H157" s="140" t="s">
        <v>565</v>
      </c>
      <c r="I157" s="5"/>
      <c r="J157" s="141"/>
      <c r="K157" s="142"/>
      <c r="L157" s="143"/>
      <c r="M157" s="91"/>
      <c r="N157" s="91"/>
      <c r="O157" s="91"/>
      <c r="P157" s="91"/>
      <c r="Q157" s="91"/>
      <c r="R157" s="91"/>
      <c r="S157" s="91"/>
      <c r="T157" s="91"/>
      <c r="U157" s="91"/>
      <c r="V157" s="91"/>
      <c r="W157" s="91"/>
      <c r="X157" s="91"/>
      <c r="Y157" s="91"/>
      <c r="Z157" s="91"/>
    </row>
    <row r="158">
      <c r="A158" s="123" t="s">
        <v>589</v>
      </c>
      <c r="B158" s="123" t="s">
        <v>590</v>
      </c>
      <c r="C158" s="123">
        <v>0.4</v>
      </c>
      <c r="D158" s="123">
        <v>0.41</v>
      </c>
      <c r="E158" s="123">
        <v>0.5</v>
      </c>
      <c r="F158" s="123">
        <v>0.54</v>
      </c>
      <c r="G158" s="123">
        <v>0.52</v>
      </c>
      <c r="H158" s="147"/>
      <c r="I158" s="5"/>
      <c r="J158" s="148" t="s">
        <v>445</v>
      </c>
      <c r="K158" s="16"/>
      <c r="L158" s="5"/>
      <c r="M158" s="91"/>
      <c r="N158" s="91"/>
      <c r="O158" s="91"/>
      <c r="P158" s="91"/>
      <c r="Q158" s="91"/>
      <c r="R158" s="91"/>
      <c r="S158" s="91"/>
      <c r="T158" s="91"/>
      <c r="U158" s="91"/>
      <c r="V158" s="91"/>
      <c r="W158" s="91"/>
      <c r="X158" s="91"/>
      <c r="Y158" s="91"/>
      <c r="Z158" s="91"/>
    </row>
    <row r="159">
      <c r="A159" s="123" t="s">
        <v>591</v>
      </c>
      <c r="B159" s="123" t="s">
        <v>592</v>
      </c>
      <c r="C159" s="123" t="s">
        <v>354</v>
      </c>
      <c r="D159" s="123" t="s">
        <v>354</v>
      </c>
      <c r="E159" s="123" t="s">
        <v>354</v>
      </c>
      <c r="F159" s="123" t="s">
        <v>354</v>
      </c>
      <c r="G159" s="123" t="s">
        <v>354</v>
      </c>
      <c r="H159" s="144" t="s">
        <v>568</v>
      </c>
      <c r="I159" s="5"/>
      <c r="J159" s="108"/>
      <c r="K159" s="108"/>
      <c r="L159" s="146"/>
      <c r="M159" s="91"/>
      <c r="N159" s="91"/>
      <c r="O159" s="91"/>
      <c r="P159" s="91"/>
      <c r="Q159" s="91"/>
      <c r="R159" s="91"/>
      <c r="S159" s="91"/>
      <c r="T159" s="91"/>
      <c r="U159" s="91"/>
      <c r="V159" s="91"/>
      <c r="W159" s="91"/>
      <c r="X159" s="91"/>
      <c r="Y159" s="91"/>
      <c r="Z159" s="91"/>
    </row>
    <row r="160">
      <c r="A160" s="123" t="s">
        <v>435</v>
      </c>
      <c r="B160" s="123" t="s">
        <v>440</v>
      </c>
      <c r="C160" s="86">
        <v>22.82</v>
      </c>
      <c r="D160" s="86">
        <v>26.49</v>
      </c>
      <c r="E160" s="86">
        <v>19.47</v>
      </c>
      <c r="F160" s="86">
        <v>13.35</v>
      </c>
      <c r="G160" s="86">
        <v>18.24</v>
      </c>
      <c r="H160" s="128" t="s">
        <v>593</v>
      </c>
      <c r="I160" s="5"/>
      <c r="J160" s="148" t="s">
        <v>445</v>
      </c>
      <c r="K160" s="16"/>
      <c r="L160" s="5"/>
      <c r="M160" s="91"/>
      <c r="N160" s="91"/>
      <c r="O160" s="91"/>
      <c r="P160" s="91"/>
      <c r="Q160" s="91"/>
      <c r="R160" s="91"/>
      <c r="S160" s="91"/>
      <c r="T160" s="91"/>
      <c r="U160" s="91"/>
      <c r="V160" s="91"/>
      <c r="W160" s="91"/>
      <c r="X160" s="91"/>
      <c r="Y160" s="91"/>
      <c r="Z160" s="91"/>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sheetData>
  <mergeCells count="57">
    <mergeCell ref="H154:I154"/>
    <mergeCell ref="H156:I156"/>
    <mergeCell ref="H157:I157"/>
    <mergeCell ref="H158:I158"/>
    <mergeCell ref="H159:I159"/>
    <mergeCell ref="H160:I160"/>
    <mergeCell ref="H149:I149"/>
    <mergeCell ref="H150:I150"/>
    <mergeCell ref="J150:L150"/>
    <mergeCell ref="H151:I151"/>
    <mergeCell ref="H152:I152"/>
    <mergeCell ref="H153:I153"/>
    <mergeCell ref="H155:L155"/>
    <mergeCell ref="A3:A4"/>
    <mergeCell ref="B3:I4"/>
    <mergeCell ref="B7:F7"/>
    <mergeCell ref="B8:F8"/>
    <mergeCell ref="B9:F9"/>
    <mergeCell ref="B10:F10"/>
    <mergeCell ref="B11:F11"/>
    <mergeCell ref="B12:F12"/>
    <mergeCell ref="B13:F13"/>
    <mergeCell ref="B14:F14"/>
    <mergeCell ref="A17:F17"/>
    <mergeCell ref="B18:F18"/>
    <mergeCell ref="B19:F19"/>
    <mergeCell ref="B20:F20"/>
    <mergeCell ref="B21:F21"/>
    <mergeCell ref="B22:F22"/>
    <mergeCell ref="B23:F23"/>
    <mergeCell ref="A26:F26"/>
    <mergeCell ref="A35:F35"/>
    <mergeCell ref="A56:F56"/>
    <mergeCell ref="B57:D57"/>
    <mergeCell ref="B58:D58"/>
    <mergeCell ref="B59:D59"/>
    <mergeCell ref="A60:A62"/>
    <mergeCell ref="B60:D60"/>
    <mergeCell ref="B62:D62"/>
    <mergeCell ref="A80:N80"/>
    <mergeCell ref="A107:N107"/>
    <mergeCell ref="B108:N108"/>
    <mergeCell ref="B109:N109"/>
    <mergeCell ref="B110:N110"/>
    <mergeCell ref="M135:O135"/>
    <mergeCell ref="A138:L138"/>
    <mergeCell ref="B139:L139"/>
    <mergeCell ref="B140:L140"/>
    <mergeCell ref="B141:L141"/>
    <mergeCell ref="A144:L144"/>
    <mergeCell ref="H145:I145"/>
    <mergeCell ref="H146:I146"/>
    <mergeCell ref="H147:I147"/>
    <mergeCell ref="H148:I148"/>
    <mergeCell ref="J149:L149"/>
    <mergeCell ref="J158:L158"/>
    <mergeCell ref="J160:L160"/>
  </mergeCells>
  <hyperlinks>
    <hyperlink r:id="rId1" ref="B7"/>
    <hyperlink r:id="rId2" ref="B8"/>
    <hyperlink r:id="rId3" ref="B9"/>
    <hyperlink r:id="rId4" ref="B10"/>
    <hyperlink r:id="rId5" ref="B11"/>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64.5"/>
    <col customWidth="1" min="2" max="2" width="166.38"/>
    <col customWidth="1" min="3" max="3" width="111.88"/>
    <col customWidth="1" min="4" max="4" width="79.75"/>
    <col customWidth="1" min="5" max="5" width="9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2"/>
      <c r="B2" s="2"/>
      <c r="C2" s="3"/>
      <c r="D2" s="3"/>
      <c r="E2" s="3"/>
      <c r="F2" s="3"/>
      <c r="G2" s="3"/>
      <c r="H2" s="3"/>
      <c r="I2" s="3"/>
      <c r="J2" s="3"/>
      <c r="K2" s="3"/>
      <c r="L2" s="3"/>
      <c r="M2" s="3"/>
      <c r="N2" s="3"/>
      <c r="O2" s="3"/>
      <c r="P2" s="3"/>
      <c r="Q2" s="3"/>
      <c r="R2" s="3"/>
      <c r="S2" s="3"/>
      <c r="T2" s="3"/>
      <c r="U2" s="3"/>
      <c r="V2" s="3"/>
      <c r="W2" s="3"/>
      <c r="X2" s="3"/>
      <c r="Y2" s="3"/>
      <c r="Z2" s="3"/>
    </row>
    <row r="3">
      <c r="A3" s="4" t="s">
        <v>1</v>
      </c>
      <c r="B3" s="5"/>
      <c r="C3" s="3"/>
      <c r="D3" s="3"/>
      <c r="E3" s="3"/>
      <c r="F3" s="3"/>
      <c r="G3" s="3"/>
      <c r="H3" s="3"/>
      <c r="I3" s="3"/>
      <c r="J3" s="3"/>
      <c r="K3" s="3"/>
      <c r="L3" s="3"/>
      <c r="M3" s="3"/>
      <c r="N3" s="3"/>
      <c r="O3" s="3"/>
      <c r="P3" s="3"/>
      <c r="Q3" s="3"/>
      <c r="R3" s="3"/>
      <c r="S3" s="3"/>
      <c r="T3" s="3"/>
      <c r="U3" s="3"/>
      <c r="V3" s="3"/>
      <c r="W3" s="3"/>
      <c r="X3" s="3"/>
      <c r="Y3" s="3"/>
      <c r="Z3" s="3"/>
    </row>
    <row r="4">
      <c r="A4" s="6" t="s">
        <v>2</v>
      </c>
      <c r="B4" s="7" t="s">
        <v>3</v>
      </c>
      <c r="C4" s="3"/>
      <c r="D4" s="3"/>
      <c r="E4" s="3"/>
      <c r="F4" s="3"/>
      <c r="G4" s="3"/>
      <c r="H4" s="3"/>
      <c r="I4" s="3"/>
      <c r="J4" s="3"/>
      <c r="K4" s="3"/>
      <c r="L4" s="3"/>
      <c r="M4" s="3"/>
      <c r="N4" s="3"/>
      <c r="O4" s="3"/>
      <c r="P4" s="3"/>
      <c r="Q4" s="3"/>
      <c r="R4" s="3"/>
      <c r="S4" s="3"/>
      <c r="T4" s="3"/>
      <c r="U4" s="3"/>
      <c r="V4" s="3"/>
      <c r="W4" s="3"/>
      <c r="X4" s="3"/>
      <c r="Y4" s="3"/>
      <c r="Z4" s="3"/>
    </row>
    <row r="5">
      <c r="A5" s="6" t="s">
        <v>4</v>
      </c>
      <c r="B5" s="7" t="s">
        <v>3</v>
      </c>
      <c r="C5" s="3"/>
      <c r="D5" s="3"/>
      <c r="E5" s="3"/>
      <c r="F5" s="3"/>
      <c r="G5" s="3"/>
      <c r="H5" s="3"/>
      <c r="I5" s="3"/>
      <c r="J5" s="3"/>
      <c r="K5" s="3"/>
      <c r="L5" s="3"/>
      <c r="M5" s="3"/>
      <c r="N5" s="3"/>
      <c r="O5" s="3"/>
      <c r="P5" s="3"/>
      <c r="Q5" s="3"/>
      <c r="R5" s="3"/>
      <c r="S5" s="3"/>
      <c r="T5" s="3"/>
      <c r="U5" s="3"/>
      <c r="V5" s="3"/>
      <c r="W5" s="3"/>
      <c r="X5" s="3"/>
      <c r="Y5" s="3"/>
      <c r="Z5" s="3"/>
    </row>
    <row r="6">
      <c r="A6" s="6" t="s">
        <v>5</v>
      </c>
      <c r="B6" s="7" t="s">
        <v>3</v>
      </c>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4" t="s">
        <v>6</v>
      </c>
      <c r="B8" s="5"/>
      <c r="C8" s="3"/>
      <c r="D8" s="3"/>
      <c r="E8" s="3"/>
      <c r="F8" s="3"/>
      <c r="G8" s="3"/>
      <c r="H8" s="3"/>
      <c r="I8" s="3"/>
      <c r="J8" s="3"/>
      <c r="K8" s="3"/>
      <c r="L8" s="3"/>
      <c r="M8" s="3"/>
      <c r="N8" s="3"/>
      <c r="O8" s="3"/>
      <c r="P8" s="3"/>
      <c r="Q8" s="3"/>
      <c r="R8" s="3"/>
      <c r="S8" s="3"/>
      <c r="T8" s="3"/>
      <c r="U8" s="3"/>
      <c r="V8" s="3"/>
      <c r="W8" s="3"/>
      <c r="X8" s="3"/>
      <c r="Y8" s="3"/>
      <c r="Z8" s="3"/>
    </row>
    <row r="9">
      <c r="A9" s="8" t="s">
        <v>7</v>
      </c>
      <c r="B9" s="5"/>
      <c r="C9" s="3"/>
      <c r="D9" s="3"/>
      <c r="E9" s="3"/>
      <c r="F9" s="3"/>
      <c r="G9" s="3"/>
      <c r="H9" s="3"/>
      <c r="I9" s="9"/>
      <c r="J9" s="9"/>
      <c r="K9" s="9"/>
      <c r="L9" s="3"/>
      <c r="M9" s="3"/>
      <c r="N9" s="3"/>
      <c r="O9" s="3"/>
      <c r="P9" s="3"/>
      <c r="Q9" s="3"/>
      <c r="R9" s="3"/>
      <c r="S9" s="3"/>
      <c r="T9" s="3"/>
      <c r="U9" s="3"/>
      <c r="V9" s="3"/>
      <c r="W9" s="3"/>
      <c r="X9" s="3"/>
      <c r="Y9" s="3"/>
      <c r="Z9" s="3"/>
    </row>
    <row r="10">
      <c r="A10" s="8" t="s">
        <v>8</v>
      </c>
      <c r="B10" s="5"/>
      <c r="C10" s="3"/>
      <c r="D10" s="3"/>
      <c r="E10" s="3"/>
      <c r="F10" s="3"/>
      <c r="G10" s="3"/>
      <c r="H10" s="3"/>
      <c r="I10" s="9"/>
      <c r="J10" s="9"/>
      <c r="K10" s="9"/>
      <c r="L10" s="3"/>
      <c r="M10" s="3"/>
      <c r="N10" s="3"/>
      <c r="O10" s="3"/>
      <c r="P10" s="3"/>
      <c r="Q10" s="3"/>
      <c r="R10" s="3"/>
      <c r="S10" s="3"/>
      <c r="T10" s="3"/>
      <c r="U10" s="3"/>
      <c r="V10" s="3"/>
      <c r="W10" s="3"/>
      <c r="X10" s="3"/>
      <c r="Y10" s="3"/>
      <c r="Z10" s="3"/>
    </row>
    <row r="11">
      <c r="A11" s="8" t="s">
        <v>9</v>
      </c>
      <c r="B11" s="5"/>
      <c r="C11" s="3"/>
      <c r="D11" s="3"/>
      <c r="E11" s="3"/>
      <c r="F11" s="3"/>
      <c r="G11" s="3"/>
      <c r="H11" s="3"/>
      <c r="I11" s="9"/>
      <c r="J11" s="9"/>
      <c r="K11" s="9"/>
      <c r="L11" s="3"/>
      <c r="M11" s="3"/>
      <c r="N11" s="3"/>
      <c r="O11" s="3"/>
      <c r="P11" s="3"/>
      <c r="Q11" s="3"/>
      <c r="R11" s="3"/>
      <c r="S11" s="3"/>
      <c r="T11" s="3"/>
      <c r="U11" s="3"/>
      <c r="V11" s="3"/>
      <c r="W11" s="3"/>
      <c r="X11" s="3"/>
      <c r="Y11" s="3"/>
      <c r="Z11" s="3"/>
    </row>
    <row r="12">
      <c r="A12" s="2"/>
      <c r="C12" s="3"/>
      <c r="D12" s="3"/>
      <c r="E12" s="3"/>
      <c r="F12" s="3"/>
      <c r="G12" s="3"/>
      <c r="H12" s="3"/>
      <c r="I12" s="9"/>
      <c r="J12" s="9"/>
      <c r="K12" s="9"/>
      <c r="L12" s="3"/>
      <c r="M12" s="3"/>
      <c r="N12" s="3"/>
      <c r="O12" s="3"/>
      <c r="P12" s="3"/>
      <c r="Q12" s="3"/>
      <c r="R12" s="3"/>
      <c r="S12" s="3"/>
      <c r="T12" s="3"/>
      <c r="U12" s="3"/>
      <c r="V12" s="3"/>
      <c r="W12" s="3"/>
      <c r="X12" s="3"/>
      <c r="Y12" s="3"/>
      <c r="Z12" s="3"/>
    </row>
    <row r="13">
      <c r="A13" s="4" t="s">
        <v>10</v>
      </c>
      <c r="B13" s="5"/>
      <c r="C13" s="3"/>
      <c r="D13" s="3"/>
      <c r="E13" s="3"/>
      <c r="F13" s="3"/>
      <c r="G13" s="3"/>
      <c r="H13" s="3"/>
      <c r="I13" s="9"/>
      <c r="J13" s="9"/>
      <c r="K13" s="9"/>
      <c r="L13" s="3"/>
      <c r="M13" s="3"/>
      <c r="N13" s="3"/>
      <c r="O13" s="3"/>
      <c r="P13" s="3"/>
      <c r="Q13" s="3"/>
      <c r="R13" s="3"/>
      <c r="S13" s="3"/>
      <c r="T13" s="3"/>
      <c r="U13" s="3"/>
      <c r="V13" s="3"/>
      <c r="W13" s="3"/>
      <c r="X13" s="3"/>
      <c r="Y13" s="3"/>
      <c r="Z13" s="3"/>
    </row>
    <row r="14">
      <c r="A14" s="8" t="s">
        <v>14</v>
      </c>
      <c r="B14" s="5"/>
      <c r="C14" s="3"/>
      <c r="D14" s="3"/>
      <c r="E14" s="3"/>
      <c r="F14" s="3"/>
      <c r="G14" s="3"/>
      <c r="H14" s="3"/>
      <c r="I14" s="3"/>
      <c r="J14" s="3"/>
      <c r="K14" s="3"/>
      <c r="L14" s="3"/>
      <c r="M14" s="3"/>
      <c r="N14" s="3"/>
      <c r="O14" s="3"/>
      <c r="P14" s="3"/>
      <c r="Q14" s="3"/>
      <c r="R14" s="3"/>
      <c r="S14" s="3"/>
      <c r="T14" s="3"/>
      <c r="U14" s="3"/>
      <c r="V14" s="3"/>
      <c r="W14" s="3"/>
      <c r="X14" s="3"/>
      <c r="Y14" s="3"/>
      <c r="Z14" s="3"/>
    </row>
    <row r="15">
      <c r="A15" s="8" t="s">
        <v>17</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19</v>
      </c>
      <c r="B16" s="5"/>
      <c r="C16" s="3"/>
      <c r="D16" s="3"/>
      <c r="E16" s="3"/>
      <c r="F16" s="3"/>
      <c r="G16" s="3"/>
      <c r="H16" s="3"/>
      <c r="I16" s="3"/>
      <c r="J16" s="3"/>
      <c r="K16" s="3"/>
      <c r="L16" s="3"/>
      <c r="M16" s="3"/>
      <c r="N16" s="3"/>
      <c r="O16" s="3"/>
      <c r="P16" s="3"/>
      <c r="Q16" s="3"/>
      <c r="R16" s="3"/>
      <c r="S16" s="3"/>
      <c r="T16" s="3"/>
      <c r="U16" s="3"/>
      <c r="V16" s="3"/>
      <c r="W16" s="3"/>
      <c r="X16" s="3"/>
      <c r="Y16" s="3"/>
      <c r="Z16" s="3"/>
    </row>
    <row r="17">
      <c r="A17" s="8" t="s">
        <v>20</v>
      </c>
      <c r="B17" s="5"/>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4" t="s">
        <v>21</v>
      </c>
      <c r="B19" s="16"/>
      <c r="C19" s="16"/>
      <c r="D19" s="5"/>
      <c r="E19" s="3"/>
      <c r="F19" s="3"/>
      <c r="G19" s="3"/>
      <c r="H19" s="3"/>
      <c r="I19" s="3"/>
      <c r="J19" s="3"/>
      <c r="K19" s="3"/>
      <c r="L19" s="3"/>
      <c r="M19" s="3"/>
      <c r="N19" s="3"/>
      <c r="O19" s="3"/>
      <c r="P19" s="3"/>
      <c r="Q19" s="3"/>
      <c r="R19" s="3"/>
      <c r="S19" s="3"/>
      <c r="T19" s="3"/>
      <c r="U19" s="3"/>
      <c r="V19" s="3"/>
      <c r="W19" s="3"/>
      <c r="X19" s="3"/>
      <c r="Y19" s="3"/>
      <c r="Z19" s="3"/>
    </row>
    <row r="20">
      <c r="A20" s="20" t="s">
        <v>25</v>
      </c>
      <c r="B20" s="20" t="s">
        <v>26</v>
      </c>
      <c r="C20" s="20" t="s">
        <v>27</v>
      </c>
      <c r="D20" s="20" t="s">
        <v>28</v>
      </c>
      <c r="E20" s="9"/>
      <c r="F20" s="9"/>
      <c r="G20" s="9"/>
      <c r="H20" s="9"/>
      <c r="I20" s="3"/>
      <c r="J20" s="3"/>
      <c r="K20" s="3"/>
      <c r="L20" s="3"/>
      <c r="M20" s="3"/>
      <c r="N20" s="3"/>
      <c r="O20" s="3"/>
      <c r="P20" s="3"/>
      <c r="Q20" s="3"/>
      <c r="R20" s="3"/>
      <c r="S20" s="3"/>
      <c r="T20" s="3"/>
      <c r="U20" s="3"/>
      <c r="V20" s="3"/>
      <c r="W20" s="3"/>
      <c r="X20" s="3"/>
      <c r="Y20" s="3"/>
      <c r="Z20" s="3"/>
    </row>
    <row r="21">
      <c r="A21" s="22" t="s">
        <v>29</v>
      </c>
      <c r="B21" s="22" t="s">
        <v>30</v>
      </c>
      <c r="C21" s="22" t="s">
        <v>32</v>
      </c>
      <c r="D21" s="22" t="s">
        <v>33</v>
      </c>
      <c r="E21" s="9"/>
      <c r="F21" s="9"/>
      <c r="G21" s="9"/>
      <c r="H21" s="9"/>
      <c r="I21" s="3"/>
      <c r="J21" s="3"/>
      <c r="K21" s="3"/>
      <c r="L21" s="3"/>
      <c r="M21" s="3"/>
      <c r="N21" s="3"/>
      <c r="O21" s="3"/>
      <c r="P21" s="3"/>
      <c r="Q21" s="3"/>
      <c r="R21" s="3"/>
      <c r="S21" s="3"/>
      <c r="T21" s="3"/>
      <c r="U21" s="3"/>
      <c r="V21" s="3"/>
      <c r="W21" s="3"/>
      <c r="X21" s="3"/>
      <c r="Y21" s="3"/>
      <c r="Z21" s="3"/>
    </row>
    <row r="22">
      <c r="A22" s="22" t="s">
        <v>34</v>
      </c>
      <c r="B22" s="22" t="s">
        <v>36</v>
      </c>
      <c r="C22" s="22" t="s">
        <v>38</v>
      </c>
      <c r="D22" s="22" t="s">
        <v>40</v>
      </c>
      <c r="E22" s="9"/>
      <c r="F22" s="9"/>
      <c r="G22" s="9"/>
      <c r="H22" s="9"/>
      <c r="I22" s="3"/>
      <c r="J22" s="3"/>
      <c r="K22" s="3"/>
      <c r="L22" s="3"/>
      <c r="M22" s="3"/>
      <c r="N22" s="3"/>
      <c r="O22" s="3"/>
      <c r="P22" s="3"/>
      <c r="Q22" s="3"/>
      <c r="R22" s="3"/>
      <c r="S22" s="3"/>
      <c r="T22" s="3"/>
      <c r="U22" s="3"/>
      <c r="V22" s="3"/>
      <c r="W22" s="3"/>
      <c r="X22" s="3"/>
      <c r="Y22" s="3"/>
      <c r="Z22" s="3"/>
    </row>
    <row r="23">
      <c r="A23" s="22" t="s">
        <v>41</v>
      </c>
      <c r="B23" s="22" t="s">
        <v>42</v>
      </c>
      <c r="C23" s="22" t="s">
        <v>43</v>
      </c>
      <c r="D23" s="22" t="s">
        <v>44</v>
      </c>
      <c r="E23" s="9"/>
      <c r="F23" s="9"/>
      <c r="G23" s="9"/>
      <c r="H23" s="9"/>
      <c r="I23" s="3"/>
      <c r="J23" s="3"/>
      <c r="K23" s="3"/>
      <c r="L23" s="9"/>
      <c r="M23" s="9"/>
      <c r="N23" s="9"/>
      <c r="O23" s="9"/>
      <c r="P23" s="9"/>
      <c r="Q23" s="9"/>
      <c r="R23" s="9"/>
      <c r="S23" s="9"/>
      <c r="T23" s="9"/>
      <c r="U23" s="9"/>
      <c r="V23" s="9"/>
      <c r="W23" s="3"/>
      <c r="X23" s="3"/>
      <c r="Y23" s="3"/>
      <c r="Z23" s="3"/>
    </row>
    <row r="24">
      <c r="A24" s="22" t="s">
        <v>45</v>
      </c>
      <c r="B24" s="22" t="s">
        <v>46</v>
      </c>
      <c r="C24" s="22" t="s">
        <v>48</v>
      </c>
      <c r="D24" s="22" t="s">
        <v>49</v>
      </c>
      <c r="E24" s="9"/>
      <c r="F24" s="9"/>
      <c r="G24" s="9"/>
      <c r="H24" s="9"/>
      <c r="I24" s="3"/>
      <c r="J24" s="3"/>
      <c r="K24" s="3"/>
      <c r="L24" s="9"/>
      <c r="M24" s="9"/>
      <c r="N24" s="9"/>
      <c r="O24" s="9"/>
      <c r="P24" s="9"/>
      <c r="Q24" s="9"/>
      <c r="R24" s="9"/>
      <c r="S24" s="9"/>
      <c r="T24" s="9"/>
      <c r="U24" s="9"/>
      <c r="V24" s="9"/>
      <c r="W24" s="3"/>
      <c r="X24" s="3"/>
      <c r="Y24" s="3"/>
      <c r="Z24" s="3"/>
    </row>
    <row r="25">
      <c r="I25" s="3"/>
      <c r="J25" s="3"/>
      <c r="K25" s="3"/>
      <c r="L25" s="3"/>
      <c r="M25" s="3"/>
      <c r="N25" s="3"/>
      <c r="O25" s="3"/>
      <c r="P25" s="3"/>
      <c r="Q25" s="3"/>
      <c r="R25" s="3"/>
      <c r="S25" s="3"/>
      <c r="T25" s="3"/>
      <c r="U25" s="3"/>
      <c r="V25" s="3"/>
      <c r="W25" s="3"/>
      <c r="X25" s="3"/>
      <c r="Y25" s="3"/>
      <c r="Z25" s="3"/>
    </row>
    <row r="26">
      <c r="A26" s="28"/>
      <c r="B26" s="28"/>
      <c r="C26" s="28"/>
      <c r="D26" s="28"/>
      <c r="E26" s="28"/>
      <c r="F26" s="28"/>
      <c r="G26" s="28"/>
      <c r="H26" s="28"/>
      <c r="I26" s="3"/>
      <c r="J26" s="3"/>
      <c r="K26" s="3"/>
      <c r="L26" s="3"/>
      <c r="M26" s="3"/>
      <c r="N26" s="3"/>
      <c r="O26" s="3"/>
      <c r="P26" s="3"/>
      <c r="Q26" s="3"/>
      <c r="R26" s="3"/>
      <c r="S26" s="3"/>
      <c r="T26" s="3"/>
      <c r="U26" s="3"/>
      <c r="V26" s="3"/>
      <c r="W26" s="3"/>
      <c r="X26" s="3"/>
      <c r="Y26" s="3"/>
      <c r="Z26" s="3"/>
    </row>
    <row r="27">
      <c r="A27" s="30" t="s">
        <v>55</v>
      </c>
      <c r="B27" s="30" t="s">
        <v>56</v>
      </c>
      <c r="C27" s="30" t="s">
        <v>57</v>
      </c>
      <c r="D27" s="30" t="s">
        <v>58</v>
      </c>
      <c r="E27" s="3"/>
      <c r="F27" s="3"/>
      <c r="G27" s="3"/>
      <c r="H27" s="3"/>
      <c r="I27" s="3"/>
      <c r="J27" s="3"/>
      <c r="K27" s="3"/>
      <c r="L27" s="3"/>
      <c r="M27" s="3"/>
      <c r="N27" s="3"/>
      <c r="O27" s="3"/>
      <c r="P27" s="3"/>
      <c r="Q27" s="3"/>
      <c r="R27" s="3"/>
      <c r="S27" s="3"/>
      <c r="T27" s="3"/>
      <c r="U27" s="3"/>
      <c r="V27" s="3"/>
      <c r="W27" s="3"/>
      <c r="X27" s="3"/>
      <c r="Y27" s="3"/>
      <c r="Z27" s="3"/>
    </row>
    <row r="28">
      <c r="A28" s="34" t="s">
        <v>62</v>
      </c>
      <c r="B28" s="35" t="s">
        <v>63</v>
      </c>
      <c r="C28" s="34" t="s">
        <v>67</v>
      </c>
      <c r="D28" s="34" t="s">
        <v>68</v>
      </c>
      <c r="E28" s="3"/>
      <c r="F28" s="3"/>
      <c r="G28" s="3"/>
      <c r="H28" s="3"/>
      <c r="I28" s="3"/>
      <c r="J28" s="3"/>
      <c r="K28" s="3"/>
      <c r="L28" s="3"/>
      <c r="M28" s="3"/>
      <c r="N28" s="3"/>
      <c r="O28" s="3"/>
      <c r="P28" s="3"/>
      <c r="Q28" s="3"/>
      <c r="R28" s="3"/>
      <c r="S28" s="3"/>
      <c r="T28" s="3"/>
      <c r="U28" s="3"/>
      <c r="V28" s="3"/>
      <c r="W28" s="3"/>
      <c r="X28" s="3"/>
      <c r="Y28" s="3"/>
      <c r="Z28" s="3"/>
    </row>
    <row r="29">
      <c r="A29" s="34" t="s">
        <v>72</v>
      </c>
      <c r="B29" s="35" t="s">
        <v>73</v>
      </c>
      <c r="C29" s="34" t="s">
        <v>74</v>
      </c>
      <c r="D29" s="34" t="s">
        <v>75</v>
      </c>
      <c r="E29" s="3"/>
      <c r="F29" s="3"/>
      <c r="G29" s="3"/>
      <c r="H29" s="3"/>
      <c r="I29" s="3"/>
      <c r="J29" s="3"/>
      <c r="K29" s="3"/>
      <c r="L29" s="3"/>
      <c r="M29" s="3"/>
      <c r="N29" s="3"/>
      <c r="O29" s="3"/>
      <c r="P29" s="3"/>
      <c r="Q29" s="3"/>
      <c r="R29" s="3"/>
      <c r="S29" s="3"/>
      <c r="T29" s="3"/>
      <c r="U29" s="3"/>
      <c r="V29" s="3"/>
      <c r="W29" s="3"/>
      <c r="X29" s="3"/>
      <c r="Y29" s="3"/>
      <c r="Z29" s="3"/>
    </row>
    <row r="30">
      <c r="A30" s="34" t="s">
        <v>81</v>
      </c>
      <c r="B30" s="35" t="s">
        <v>82</v>
      </c>
      <c r="C30" s="34" t="s">
        <v>83</v>
      </c>
      <c r="D30" s="34" t="s">
        <v>84</v>
      </c>
      <c r="E30" s="3"/>
      <c r="F30" s="3"/>
      <c r="G30" s="3"/>
      <c r="H30" s="3"/>
      <c r="I30" s="3"/>
      <c r="J30" s="3"/>
      <c r="K30" s="3"/>
      <c r="L30" s="3"/>
      <c r="M30" s="3"/>
      <c r="N30" s="3"/>
      <c r="O30" s="3"/>
      <c r="P30" s="3"/>
      <c r="Q30" s="3"/>
      <c r="R30" s="3"/>
      <c r="S30" s="3"/>
      <c r="T30" s="3"/>
      <c r="U30" s="3"/>
      <c r="V30" s="3"/>
      <c r="W30" s="3"/>
      <c r="X30" s="3"/>
      <c r="Y30" s="3"/>
      <c r="Z30" s="3"/>
    </row>
    <row r="31">
      <c r="A31" s="34" t="s">
        <v>86</v>
      </c>
      <c r="B31" s="35" t="s">
        <v>87</v>
      </c>
      <c r="C31" s="34" t="s">
        <v>88</v>
      </c>
      <c r="D31" s="34" t="s">
        <v>89</v>
      </c>
      <c r="E31" s="3"/>
      <c r="F31" s="3"/>
      <c r="G31" s="3"/>
      <c r="H31" s="3"/>
      <c r="I31" s="3"/>
      <c r="J31" s="3"/>
      <c r="K31" s="3"/>
      <c r="L31" s="9"/>
      <c r="M31" s="9"/>
      <c r="N31" s="3"/>
      <c r="O31" s="3"/>
      <c r="P31" s="3"/>
      <c r="Q31" s="3"/>
      <c r="R31" s="3"/>
      <c r="S31" s="3"/>
      <c r="T31" s="3"/>
      <c r="U31" s="3"/>
      <c r="V31" s="3"/>
      <c r="W31" s="3"/>
      <c r="X31" s="3"/>
      <c r="Y31" s="3"/>
      <c r="Z31" s="3"/>
    </row>
    <row r="32">
      <c r="A32" s="34" t="s">
        <v>92</v>
      </c>
      <c r="B32" s="35" t="s">
        <v>94</v>
      </c>
      <c r="C32" s="34" t="s">
        <v>95</v>
      </c>
      <c r="D32" s="34" t="s">
        <v>96</v>
      </c>
      <c r="E32" s="3"/>
      <c r="F32" s="3"/>
      <c r="G32" s="3"/>
      <c r="H32" s="3"/>
      <c r="I32" s="3"/>
      <c r="J32" s="3"/>
      <c r="K32" s="3"/>
      <c r="L32" s="9"/>
      <c r="M32" s="9"/>
      <c r="N32" s="3"/>
      <c r="O32" s="3"/>
      <c r="P32" s="3"/>
      <c r="Q32" s="3"/>
      <c r="R32" s="3"/>
      <c r="S32" s="3"/>
      <c r="T32" s="3"/>
      <c r="U32" s="3"/>
      <c r="V32" s="3"/>
      <c r="W32" s="3"/>
      <c r="X32" s="3"/>
      <c r="Y32" s="3"/>
      <c r="Z32" s="3"/>
    </row>
    <row r="33">
      <c r="A33" s="34" t="s">
        <v>100</v>
      </c>
      <c r="B33" s="35" t="s">
        <v>101</v>
      </c>
      <c r="C33" s="34" t="s">
        <v>103</v>
      </c>
      <c r="D33" s="34" t="s">
        <v>104</v>
      </c>
      <c r="E33" s="3"/>
      <c r="F33" s="3"/>
      <c r="G33" s="3"/>
      <c r="H33" s="3"/>
      <c r="I33" s="3"/>
      <c r="J33" s="3"/>
      <c r="K33" s="3"/>
      <c r="L33" s="9"/>
      <c r="M33" s="9"/>
      <c r="N33" s="3"/>
      <c r="O33" s="3"/>
      <c r="P33" s="3"/>
      <c r="Q33" s="3"/>
      <c r="R33" s="3"/>
      <c r="S33" s="3"/>
      <c r="T33" s="3"/>
      <c r="U33" s="3"/>
      <c r="V33" s="3"/>
      <c r="W33" s="3"/>
      <c r="X33" s="3"/>
      <c r="Y33" s="3"/>
      <c r="Z33" s="3"/>
    </row>
    <row r="34">
      <c r="A34" s="34" t="s">
        <v>109</v>
      </c>
      <c r="B34" s="35" t="s">
        <v>110</v>
      </c>
      <c r="C34" s="34" t="s">
        <v>111</v>
      </c>
      <c r="D34" s="34" t="s">
        <v>112</v>
      </c>
      <c r="E34" s="3"/>
      <c r="F34" s="3"/>
      <c r="G34" s="3"/>
      <c r="H34" s="3"/>
      <c r="I34" s="3"/>
      <c r="J34" s="3"/>
      <c r="K34" s="3"/>
      <c r="L34" s="9"/>
      <c r="M34" s="9"/>
      <c r="N34" s="3"/>
      <c r="O34" s="3"/>
      <c r="P34" s="3"/>
      <c r="Q34" s="3"/>
      <c r="R34" s="3"/>
      <c r="S34" s="3"/>
      <c r="T34" s="3"/>
      <c r="U34" s="3"/>
      <c r="V34" s="3"/>
      <c r="W34" s="3"/>
      <c r="X34" s="3"/>
      <c r="Y34" s="3"/>
      <c r="Z34" s="3"/>
    </row>
    <row r="35">
      <c r="A35" s="34" t="s">
        <v>117</v>
      </c>
      <c r="B35" s="35" t="s">
        <v>118</v>
      </c>
      <c r="C35" s="34" t="s">
        <v>119</v>
      </c>
      <c r="D35" s="34" t="s">
        <v>121</v>
      </c>
      <c r="E35" s="3"/>
      <c r="F35" s="3"/>
      <c r="G35" s="3"/>
      <c r="H35" s="3"/>
      <c r="I35" s="3"/>
      <c r="J35" s="3"/>
      <c r="K35" s="3"/>
      <c r="L35" s="9"/>
      <c r="M35" s="9"/>
      <c r="N35" s="3"/>
      <c r="O35" s="3"/>
      <c r="P35" s="3"/>
      <c r="Q35" s="3"/>
      <c r="R35" s="3"/>
      <c r="S35" s="3"/>
      <c r="T35" s="3"/>
      <c r="U35" s="3"/>
      <c r="V35" s="3"/>
      <c r="W35" s="3"/>
      <c r="X35" s="3"/>
      <c r="Y35" s="3"/>
      <c r="Z35" s="3"/>
    </row>
    <row r="36">
      <c r="A36" s="34" t="s">
        <v>125</v>
      </c>
      <c r="B36" s="35" t="s">
        <v>126</v>
      </c>
      <c r="C36" s="34" t="s">
        <v>127</v>
      </c>
      <c r="D36" s="34" t="s">
        <v>128</v>
      </c>
      <c r="E36" s="3"/>
      <c r="F36" s="3"/>
      <c r="G36" s="3"/>
      <c r="H36" s="3"/>
      <c r="I36" s="3"/>
      <c r="J36" s="3"/>
      <c r="K36" s="3"/>
      <c r="L36" s="9"/>
      <c r="M36" s="9"/>
      <c r="N36" s="9"/>
      <c r="O36" s="3"/>
      <c r="P36" s="3"/>
      <c r="Q36" s="3"/>
      <c r="R36" s="3"/>
      <c r="S36" s="3"/>
      <c r="T36" s="3"/>
      <c r="U36" s="3"/>
      <c r="V36" s="3"/>
      <c r="W36" s="3"/>
      <c r="X36" s="3"/>
      <c r="Y36" s="3"/>
      <c r="Z36" s="3"/>
    </row>
    <row r="37">
      <c r="A37" s="46" t="s">
        <v>132</v>
      </c>
      <c r="B37" s="47" t="s">
        <v>133</v>
      </c>
      <c r="C37" s="46" t="s">
        <v>134</v>
      </c>
      <c r="D37" s="46" t="s">
        <v>135</v>
      </c>
      <c r="E37" s="3"/>
      <c r="F37" s="3"/>
      <c r="G37" s="3"/>
      <c r="H37" s="3"/>
      <c r="I37" s="3"/>
      <c r="J37" s="3"/>
      <c r="K37" s="3"/>
      <c r="L37" s="9"/>
      <c r="M37" s="9"/>
      <c r="N37" s="9"/>
      <c r="O37" s="3"/>
      <c r="P37" s="3"/>
      <c r="Q37" s="3"/>
      <c r="R37" s="3"/>
      <c r="S37" s="3"/>
      <c r="T37" s="3"/>
      <c r="U37" s="3"/>
      <c r="V37" s="3"/>
      <c r="W37" s="3"/>
      <c r="X37" s="3"/>
      <c r="Y37" s="3"/>
      <c r="Z37" s="3"/>
    </row>
    <row r="38">
      <c r="A38" s="3"/>
      <c r="B38" s="3"/>
      <c r="C38" s="3"/>
      <c r="D38" s="3"/>
      <c r="E38" s="3"/>
      <c r="F38" s="3"/>
      <c r="G38" s="3"/>
      <c r="H38" s="3"/>
      <c r="I38" s="3"/>
      <c r="J38" s="3"/>
      <c r="K38" s="3"/>
      <c r="L38" s="9"/>
      <c r="M38" s="9"/>
      <c r="N38" s="9"/>
      <c r="O38" s="3"/>
      <c r="P38" s="3"/>
      <c r="Q38" s="3"/>
      <c r="R38" s="3"/>
      <c r="S38" s="3"/>
      <c r="T38" s="3"/>
      <c r="U38" s="3"/>
      <c r="V38" s="3"/>
      <c r="W38" s="3"/>
      <c r="X38" s="3"/>
      <c r="Y38" s="3"/>
      <c r="Z38" s="3"/>
    </row>
    <row r="39">
      <c r="A39" s="52" t="s">
        <v>140</v>
      </c>
      <c r="B39" s="52" t="s">
        <v>144</v>
      </c>
      <c r="C39" s="52" t="s">
        <v>145</v>
      </c>
      <c r="D39" s="52" t="s">
        <v>146</v>
      </c>
      <c r="E39" s="52" t="s">
        <v>147</v>
      </c>
      <c r="F39" s="9"/>
      <c r="G39" s="9"/>
      <c r="H39" s="9"/>
      <c r="I39" s="3"/>
      <c r="J39" s="3"/>
      <c r="K39" s="3"/>
      <c r="L39" s="9"/>
      <c r="M39" s="9"/>
      <c r="N39" s="9"/>
      <c r="O39" s="9"/>
      <c r="P39" s="9"/>
      <c r="Q39" s="9"/>
      <c r="R39" s="9"/>
      <c r="S39" s="9"/>
      <c r="T39" s="3"/>
      <c r="U39" s="3"/>
      <c r="V39" s="3"/>
      <c r="W39" s="3"/>
      <c r="X39" s="3"/>
      <c r="Y39" s="3"/>
      <c r="Z39" s="3"/>
    </row>
    <row r="40">
      <c r="A40" s="22" t="s">
        <v>154</v>
      </c>
      <c r="B40" s="22" t="s">
        <v>155</v>
      </c>
      <c r="C40" s="56" t="s">
        <v>158</v>
      </c>
      <c r="D40" s="22" t="s">
        <v>160</v>
      </c>
      <c r="E40" s="22" t="s">
        <v>161</v>
      </c>
      <c r="F40" s="9"/>
      <c r="G40" s="9"/>
      <c r="H40" s="9"/>
      <c r="I40" s="3"/>
      <c r="J40" s="3"/>
      <c r="K40" s="3"/>
      <c r="L40" s="9"/>
      <c r="M40" s="9"/>
      <c r="N40" s="9"/>
      <c r="O40" s="9"/>
      <c r="P40" s="9"/>
      <c r="Q40" s="9"/>
      <c r="R40" s="9"/>
      <c r="S40" s="9"/>
      <c r="T40" s="3"/>
      <c r="U40" s="3"/>
      <c r="V40" s="3"/>
      <c r="W40" s="3"/>
      <c r="X40" s="3"/>
      <c r="Y40" s="3"/>
      <c r="Z40" s="3"/>
    </row>
    <row r="41">
      <c r="A41" s="22" t="s">
        <v>165</v>
      </c>
      <c r="B41" s="22" t="s">
        <v>166</v>
      </c>
      <c r="C41" s="56" t="s">
        <v>167</v>
      </c>
      <c r="D41" s="22" t="s">
        <v>168</v>
      </c>
      <c r="E41" s="22" t="s">
        <v>169</v>
      </c>
      <c r="F41" s="9"/>
      <c r="G41" s="9"/>
      <c r="H41" s="9"/>
      <c r="I41" s="3"/>
      <c r="J41" s="3"/>
      <c r="K41" s="3"/>
      <c r="L41" s="9"/>
      <c r="M41" s="9"/>
      <c r="N41" s="9"/>
      <c r="O41" s="9"/>
      <c r="P41" s="9"/>
      <c r="Q41" s="9"/>
      <c r="R41" s="9"/>
      <c r="S41" s="9"/>
      <c r="T41" s="3"/>
      <c r="U41" s="3"/>
      <c r="V41" s="3"/>
      <c r="W41" s="3"/>
      <c r="X41" s="3"/>
      <c r="Y41" s="3"/>
      <c r="Z41" s="3"/>
    </row>
    <row r="42">
      <c r="A42" s="22" t="s">
        <v>176</v>
      </c>
      <c r="B42" s="22" t="s">
        <v>177</v>
      </c>
      <c r="C42" s="56" t="s">
        <v>178</v>
      </c>
      <c r="D42" s="22" t="s">
        <v>179</v>
      </c>
      <c r="E42" s="22" t="s">
        <v>181</v>
      </c>
      <c r="F42" s="9"/>
      <c r="G42" s="9"/>
      <c r="H42" s="9"/>
      <c r="I42" s="9"/>
      <c r="J42" s="9"/>
      <c r="K42" s="9"/>
      <c r="L42" s="9"/>
      <c r="M42" s="9"/>
      <c r="N42" s="9"/>
      <c r="O42" s="9"/>
      <c r="P42" s="9"/>
      <c r="Q42" s="9"/>
      <c r="R42" s="9"/>
      <c r="S42" s="9"/>
      <c r="T42" s="3"/>
      <c r="U42" s="3"/>
      <c r="V42" s="3"/>
      <c r="W42" s="3"/>
      <c r="X42" s="3"/>
      <c r="Y42" s="3"/>
      <c r="Z42" s="3"/>
    </row>
    <row r="43">
      <c r="A43" s="22" t="s">
        <v>185</v>
      </c>
      <c r="B43" s="22" t="s">
        <v>187</v>
      </c>
      <c r="C43" s="56" t="s">
        <v>188</v>
      </c>
      <c r="D43" s="22" t="s">
        <v>189</v>
      </c>
      <c r="E43" s="22" t="s">
        <v>190</v>
      </c>
      <c r="F43" s="9"/>
      <c r="G43" s="9"/>
      <c r="H43" s="9"/>
      <c r="I43" s="9"/>
      <c r="J43" s="9"/>
      <c r="K43" s="9"/>
      <c r="L43" s="9"/>
      <c r="M43" s="9"/>
      <c r="N43" s="9"/>
      <c r="O43" s="9"/>
      <c r="P43" s="9"/>
      <c r="Q43" s="9"/>
      <c r="R43" s="9"/>
      <c r="S43" s="9"/>
      <c r="T43" s="3"/>
      <c r="U43" s="3"/>
      <c r="V43" s="3"/>
      <c r="W43" s="3"/>
      <c r="X43" s="3"/>
      <c r="Y43" s="3"/>
      <c r="Z43" s="3"/>
    </row>
    <row r="44">
      <c r="A44" s="22" t="s">
        <v>193</v>
      </c>
      <c r="B44" s="22" t="s">
        <v>194</v>
      </c>
      <c r="C44" s="56" t="s">
        <v>195</v>
      </c>
      <c r="D44" s="22" t="s">
        <v>196</v>
      </c>
      <c r="E44" s="22" t="s">
        <v>197</v>
      </c>
      <c r="F44" s="9"/>
      <c r="G44" s="9"/>
      <c r="H44" s="9"/>
      <c r="I44" s="9"/>
      <c r="J44" s="9"/>
      <c r="K44" s="9"/>
      <c r="L44" s="9"/>
      <c r="M44" s="9"/>
      <c r="N44" s="9"/>
      <c r="O44" s="9"/>
      <c r="P44" s="9"/>
      <c r="Q44" s="9"/>
      <c r="R44" s="9"/>
      <c r="S44" s="9"/>
      <c r="T44" s="3"/>
      <c r="U44" s="3"/>
      <c r="V44" s="3"/>
      <c r="W44" s="3"/>
      <c r="X44" s="3"/>
      <c r="Y44" s="3"/>
      <c r="Z44" s="3"/>
    </row>
    <row r="45">
      <c r="A45" s="22" t="s">
        <v>198</v>
      </c>
      <c r="B45" s="22" t="s">
        <v>199</v>
      </c>
      <c r="C45" s="56" t="s">
        <v>200</v>
      </c>
      <c r="D45" s="22" t="s">
        <v>160</v>
      </c>
      <c r="E45" s="22" t="s">
        <v>201</v>
      </c>
      <c r="F45" s="9"/>
      <c r="G45" s="9"/>
      <c r="H45" s="9"/>
      <c r="I45" s="9"/>
      <c r="J45" s="9"/>
      <c r="K45" s="9"/>
      <c r="L45" s="9"/>
      <c r="M45" s="9"/>
      <c r="N45" s="9"/>
      <c r="O45" s="9"/>
      <c r="P45" s="9"/>
      <c r="Q45" s="9"/>
      <c r="R45" s="9"/>
      <c r="S45" s="9"/>
      <c r="T45" s="3"/>
      <c r="U45" s="3"/>
      <c r="V45" s="3"/>
      <c r="W45" s="3"/>
      <c r="X45" s="3"/>
      <c r="Y45" s="3"/>
      <c r="Z45" s="3"/>
    </row>
    <row r="46">
      <c r="A46" s="22" t="s">
        <v>202</v>
      </c>
      <c r="B46" s="22" t="s">
        <v>205</v>
      </c>
      <c r="C46" s="56" t="s">
        <v>207</v>
      </c>
      <c r="D46" s="22" t="s">
        <v>208</v>
      </c>
      <c r="E46" s="22" t="s">
        <v>209</v>
      </c>
      <c r="F46" s="9"/>
      <c r="G46" s="9"/>
      <c r="H46" s="9"/>
      <c r="I46" s="9"/>
      <c r="J46" s="9"/>
      <c r="K46" s="9"/>
      <c r="L46" s="3"/>
      <c r="M46" s="3"/>
      <c r="N46" s="3"/>
      <c r="O46" s="3"/>
      <c r="P46" s="3"/>
      <c r="Q46" s="3"/>
      <c r="R46" s="3"/>
      <c r="S46" s="3"/>
      <c r="T46" s="3"/>
      <c r="U46" s="3"/>
      <c r="V46" s="3"/>
      <c r="W46" s="3"/>
      <c r="X46" s="3"/>
      <c r="Y46" s="3"/>
      <c r="Z46" s="3"/>
    </row>
    <row r="47">
      <c r="A47" s="22" t="s">
        <v>212</v>
      </c>
      <c r="B47" s="22" t="s">
        <v>213</v>
      </c>
      <c r="C47" s="56" t="s">
        <v>214</v>
      </c>
      <c r="D47" s="22" t="s">
        <v>215</v>
      </c>
      <c r="E47" s="22" t="s">
        <v>216</v>
      </c>
      <c r="F47" s="9"/>
      <c r="G47" s="9"/>
      <c r="H47" s="9"/>
      <c r="I47" s="9"/>
      <c r="J47" s="9"/>
      <c r="K47" s="9"/>
      <c r="L47" s="3"/>
      <c r="M47" s="3"/>
      <c r="N47" s="3"/>
      <c r="O47" s="3"/>
      <c r="P47" s="3"/>
      <c r="Q47" s="3"/>
      <c r="R47" s="3"/>
      <c r="S47" s="3"/>
      <c r="T47" s="3"/>
      <c r="U47" s="3"/>
      <c r="V47" s="3"/>
      <c r="W47" s="3"/>
      <c r="X47" s="3"/>
      <c r="Y47" s="3"/>
      <c r="Z47" s="3"/>
    </row>
    <row r="48">
      <c r="A48" s="9"/>
      <c r="B48" s="9"/>
      <c r="C48" s="9"/>
      <c r="D48" s="9"/>
      <c r="E48" s="9"/>
      <c r="F48" s="9"/>
      <c r="G48" s="9"/>
      <c r="H48" s="9"/>
      <c r="I48" s="9"/>
      <c r="J48" s="9"/>
      <c r="K48" s="9"/>
      <c r="L48" s="3"/>
      <c r="M48" s="3"/>
      <c r="N48" s="3"/>
      <c r="O48" s="3"/>
      <c r="P48" s="3"/>
      <c r="Q48" s="3"/>
      <c r="R48" s="3"/>
      <c r="S48" s="3"/>
      <c r="T48" s="3"/>
      <c r="U48" s="3"/>
      <c r="V48" s="3"/>
      <c r="W48" s="3"/>
      <c r="X48" s="3"/>
      <c r="Y48" s="3"/>
      <c r="Z48" s="3"/>
    </row>
    <row r="49">
      <c r="A49" s="52" t="s">
        <v>219</v>
      </c>
      <c r="B49" s="52" t="s">
        <v>220</v>
      </c>
      <c r="C49" s="52" t="s">
        <v>221</v>
      </c>
      <c r="D49" s="52" t="s">
        <v>222</v>
      </c>
      <c r="E49" s="9"/>
      <c r="F49" s="9"/>
      <c r="G49" s="9"/>
      <c r="H49" s="9"/>
      <c r="I49" s="9"/>
      <c r="J49" s="9"/>
      <c r="K49" s="9"/>
      <c r="L49" s="3"/>
      <c r="M49" s="3"/>
      <c r="N49" s="3"/>
      <c r="O49" s="3"/>
      <c r="P49" s="3"/>
      <c r="Q49" s="3"/>
      <c r="R49" s="3"/>
      <c r="S49" s="3"/>
      <c r="T49" s="3"/>
      <c r="U49" s="3"/>
      <c r="V49" s="3"/>
      <c r="W49" s="3"/>
      <c r="X49" s="3"/>
      <c r="Y49" s="3"/>
      <c r="Z49" s="3"/>
    </row>
    <row r="50">
      <c r="A50" s="22" t="s">
        <v>226</v>
      </c>
      <c r="B50" s="22" t="s">
        <v>227</v>
      </c>
      <c r="C50" s="22" t="s">
        <v>228</v>
      </c>
      <c r="D50" s="22" t="s">
        <v>229</v>
      </c>
      <c r="E50" s="9"/>
      <c r="F50" s="9"/>
      <c r="G50" s="9"/>
      <c r="H50" s="9"/>
      <c r="I50" s="9"/>
      <c r="J50" s="9"/>
      <c r="K50" s="9"/>
      <c r="L50" s="3"/>
      <c r="M50" s="3"/>
      <c r="N50" s="3"/>
      <c r="O50" s="3"/>
      <c r="P50" s="3"/>
      <c r="Q50" s="3"/>
      <c r="R50" s="3"/>
      <c r="S50" s="3"/>
      <c r="T50" s="3"/>
      <c r="U50" s="3"/>
      <c r="V50" s="3"/>
      <c r="W50" s="3"/>
      <c r="X50" s="3"/>
      <c r="Y50" s="3"/>
      <c r="Z50" s="3"/>
    </row>
    <row r="51">
      <c r="A51" s="22" t="s">
        <v>231</v>
      </c>
      <c r="B51" s="22" t="s">
        <v>232</v>
      </c>
      <c r="C51" s="22" t="s">
        <v>228</v>
      </c>
      <c r="D51" s="22" t="s">
        <v>233</v>
      </c>
      <c r="E51" s="9"/>
      <c r="F51" s="9"/>
      <c r="G51" s="9"/>
      <c r="H51" s="9"/>
      <c r="I51" s="9"/>
      <c r="J51" s="9"/>
      <c r="K51" s="9"/>
      <c r="L51" s="3"/>
      <c r="M51" s="3"/>
      <c r="N51" s="3"/>
      <c r="O51" s="3"/>
      <c r="P51" s="3"/>
      <c r="Q51" s="3"/>
      <c r="R51" s="3"/>
      <c r="S51" s="3"/>
      <c r="T51" s="3"/>
      <c r="U51" s="3"/>
      <c r="V51" s="3"/>
      <c r="W51" s="3"/>
      <c r="X51" s="3"/>
      <c r="Y51" s="3"/>
      <c r="Z51" s="3"/>
    </row>
    <row r="52">
      <c r="A52" s="22" t="s">
        <v>234</v>
      </c>
      <c r="B52" s="22" t="s">
        <v>235</v>
      </c>
      <c r="C52" s="22" t="s">
        <v>236</v>
      </c>
      <c r="D52" s="22" t="s">
        <v>237</v>
      </c>
      <c r="E52" s="9"/>
      <c r="F52" s="9"/>
      <c r="G52" s="9"/>
      <c r="H52" s="9"/>
      <c r="I52" s="9"/>
      <c r="J52" s="9"/>
      <c r="K52" s="9"/>
      <c r="L52" s="3"/>
      <c r="M52" s="3"/>
      <c r="N52" s="3"/>
      <c r="O52" s="3"/>
      <c r="P52" s="3"/>
      <c r="Q52" s="3"/>
      <c r="R52" s="3"/>
      <c r="S52" s="3"/>
      <c r="T52" s="3"/>
      <c r="U52" s="3"/>
      <c r="V52" s="3"/>
      <c r="W52" s="3"/>
      <c r="X52" s="3"/>
      <c r="Y52" s="3"/>
      <c r="Z52" s="3"/>
    </row>
    <row r="53">
      <c r="A53" s="22" t="s">
        <v>238</v>
      </c>
      <c r="B53" s="22" t="s">
        <v>239</v>
      </c>
      <c r="C53" s="22" t="s">
        <v>236</v>
      </c>
      <c r="D53" s="22" t="s">
        <v>241</v>
      </c>
      <c r="E53" s="9"/>
      <c r="F53" s="9"/>
      <c r="G53" s="9"/>
      <c r="H53" s="9"/>
      <c r="I53" s="3"/>
      <c r="J53" s="3"/>
      <c r="K53" s="3"/>
      <c r="L53" s="3"/>
      <c r="M53" s="3"/>
      <c r="N53" s="3"/>
      <c r="O53" s="3"/>
      <c r="P53" s="3"/>
      <c r="Q53" s="3"/>
      <c r="R53" s="3"/>
      <c r="S53" s="3"/>
      <c r="T53" s="3"/>
      <c r="U53" s="3"/>
      <c r="V53" s="3"/>
      <c r="W53" s="3"/>
      <c r="X53" s="3"/>
      <c r="Y53" s="3"/>
      <c r="Z53" s="3"/>
    </row>
    <row r="54">
      <c r="A54" s="9"/>
      <c r="B54" s="9"/>
      <c r="C54" s="9"/>
      <c r="D54" s="9"/>
      <c r="E54" s="9"/>
      <c r="F54" s="9"/>
      <c r="G54" s="9"/>
      <c r="H54" s="9"/>
      <c r="I54" s="3"/>
      <c r="J54" s="3"/>
      <c r="K54" s="3"/>
      <c r="L54" s="3"/>
      <c r="M54" s="3"/>
      <c r="N54" s="3"/>
      <c r="O54" s="3"/>
      <c r="P54" s="3"/>
      <c r="Q54" s="3"/>
      <c r="R54" s="3"/>
      <c r="S54" s="3"/>
      <c r="T54" s="3"/>
      <c r="U54" s="3"/>
      <c r="V54" s="3"/>
      <c r="W54" s="3"/>
      <c r="X54" s="3"/>
      <c r="Y54" s="3"/>
      <c r="Z54" s="3"/>
    </row>
    <row r="55">
      <c r="A55" s="63" t="s">
        <v>247</v>
      </c>
      <c r="B55" s="63" t="s">
        <v>249</v>
      </c>
      <c r="C55" s="63" t="s">
        <v>250</v>
      </c>
      <c r="D55" s="63" t="s">
        <v>251</v>
      </c>
      <c r="E55" s="9"/>
      <c r="F55" s="9"/>
      <c r="G55" s="9"/>
      <c r="H55" s="9"/>
      <c r="I55" s="3"/>
      <c r="J55" s="3"/>
      <c r="K55" s="3"/>
      <c r="L55" s="3"/>
      <c r="M55" s="3"/>
      <c r="N55" s="3"/>
      <c r="O55" s="3"/>
      <c r="P55" s="3"/>
      <c r="Q55" s="3"/>
      <c r="R55" s="3"/>
      <c r="S55" s="3"/>
      <c r="T55" s="3"/>
      <c r="U55" s="3"/>
      <c r="V55" s="3"/>
      <c r="W55" s="3"/>
      <c r="X55" s="3"/>
      <c r="Y55" s="3"/>
      <c r="Z55" s="3"/>
    </row>
    <row r="56">
      <c r="A56" s="22" t="s">
        <v>254</v>
      </c>
      <c r="B56" s="22" t="s">
        <v>255</v>
      </c>
      <c r="C56" s="22" t="s">
        <v>256</v>
      </c>
      <c r="D56" s="56" t="s">
        <v>257</v>
      </c>
      <c r="E56" s="9"/>
      <c r="F56" s="9"/>
      <c r="G56" s="9"/>
      <c r="H56" s="9"/>
      <c r="I56" s="3"/>
      <c r="J56" s="3"/>
      <c r="K56" s="3"/>
      <c r="L56" s="3"/>
      <c r="M56" s="3"/>
      <c r="N56" s="3"/>
      <c r="O56" s="3"/>
      <c r="P56" s="3"/>
      <c r="Q56" s="3"/>
      <c r="R56" s="3"/>
      <c r="S56" s="3"/>
      <c r="T56" s="3"/>
      <c r="U56" s="3"/>
      <c r="V56" s="3"/>
      <c r="W56" s="3"/>
      <c r="X56" s="3"/>
      <c r="Y56" s="3"/>
      <c r="Z56" s="3"/>
    </row>
    <row r="57">
      <c r="A57" s="22" t="s">
        <v>262</v>
      </c>
      <c r="B57" s="22" t="s">
        <v>263</v>
      </c>
      <c r="C57" s="22" t="s">
        <v>264</v>
      </c>
      <c r="D57" s="56" t="s">
        <v>266</v>
      </c>
      <c r="E57" s="9"/>
      <c r="F57" s="9"/>
      <c r="G57" s="9"/>
      <c r="H57" s="9"/>
      <c r="I57" s="3"/>
      <c r="J57" s="3"/>
      <c r="K57" s="3"/>
      <c r="L57" s="3"/>
      <c r="M57" s="3"/>
      <c r="N57" s="3"/>
      <c r="O57" s="3"/>
      <c r="P57" s="3"/>
      <c r="Q57" s="3"/>
      <c r="R57" s="3"/>
      <c r="S57" s="3"/>
      <c r="T57" s="3"/>
      <c r="U57" s="3"/>
      <c r="V57" s="3"/>
      <c r="W57" s="3"/>
      <c r="X57" s="3"/>
      <c r="Y57" s="3"/>
      <c r="Z57" s="3"/>
    </row>
    <row r="58">
      <c r="A58" s="22" t="s">
        <v>270</v>
      </c>
      <c r="B58" s="22" t="s">
        <v>271</v>
      </c>
      <c r="C58" s="22" t="s">
        <v>272</v>
      </c>
      <c r="D58" s="56" t="s">
        <v>273</v>
      </c>
      <c r="E58" s="9"/>
      <c r="F58" s="9"/>
      <c r="G58" s="9"/>
      <c r="H58" s="9"/>
      <c r="I58" s="3"/>
      <c r="J58" s="3"/>
      <c r="K58" s="3"/>
      <c r="L58" s="3"/>
      <c r="M58" s="3"/>
      <c r="N58" s="3"/>
      <c r="O58" s="3"/>
      <c r="P58" s="3"/>
      <c r="Q58" s="3"/>
      <c r="R58" s="3"/>
      <c r="S58" s="3"/>
      <c r="T58" s="3"/>
      <c r="U58" s="3"/>
      <c r="V58" s="3"/>
      <c r="W58" s="3"/>
      <c r="X58" s="3"/>
      <c r="Y58" s="3"/>
      <c r="Z58" s="3"/>
    </row>
    <row r="59">
      <c r="A59" s="22" t="s">
        <v>275</v>
      </c>
      <c r="B59" s="22" t="s">
        <v>276</v>
      </c>
      <c r="C59" s="22" t="s">
        <v>277</v>
      </c>
      <c r="D59" s="56" t="s">
        <v>278</v>
      </c>
      <c r="E59" s="9"/>
      <c r="F59" s="9"/>
      <c r="G59" s="9"/>
      <c r="H59" s="9"/>
      <c r="I59" s="3"/>
      <c r="J59" s="3"/>
      <c r="K59" s="3"/>
      <c r="L59" s="3"/>
      <c r="M59" s="3"/>
      <c r="N59" s="3"/>
      <c r="O59" s="3"/>
      <c r="P59" s="3"/>
      <c r="Q59" s="3"/>
      <c r="R59" s="3"/>
      <c r="S59" s="3"/>
      <c r="T59" s="3"/>
      <c r="U59" s="3"/>
      <c r="V59" s="3"/>
      <c r="W59" s="3"/>
      <c r="X59" s="3"/>
      <c r="Y59" s="3"/>
      <c r="Z59" s="3"/>
    </row>
    <row r="60">
      <c r="A60" s="22" t="s">
        <v>280</v>
      </c>
      <c r="B60" s="22" t="s">
        <v>281</v>
      </c>
      <c r="C60" s="22" t="s">
        <v>282</v>
      </c>
      <c r="D60" s="56" t="s">
        <v>283</v>
      </c>
      <c r="E60" s="9"/>
      <c r="F60" s="9"/>
      <c r="G60" s="9"/>
      <c r="H60" s="9"/>
      <c r="I60" s="3"/>
      <c r="J60" s="3"/>
      <c r="K60" s="3"/>
      <c r="L60" s="3"/>
      <c r="M60" s="3"/>
      <c r="N60" s="3"/>
      <c r="O60" s="3"/>
      <c r="P60" s="3"/>
      <c r="Q60" s="3"/>
      <c r="R60" s="3"/>
      <c r="S60" s="3"/>
      <c r="T60" s="3"/>
      <c r="U60" s="3"/>
      <c r="V60" s="3"/>
      <c r="W60" s="3"/>
      <c r="X60" s="3"/>
      <c r="Y60" s="3"/>
      <c r="Z60" s="3"/>
    </row>
    <row r="61">
      <c r="A61" s="22" t="s">
        <v>284</v>
      </c>
      <c r="B61" s="22" t="s">
        <v>285</v>
      </c>
      <c r="C61" s="22" t="s">
        <v>286</v>
      </c>
      <c r="D61" s="56" t="s">
        <v>287</v>
      </c>
      <c r="E61" s="9"/>
      <c r="F61" s="9"/>
      <c r="G61" s="9"/>
      <c r="H61" s="9"/>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69" t="s">
        <v>289</v>
      </c>
      <c r="B63" s="3"/>
      <c r="C63" s="3"/>
      <c r="D63" s="3"/>
      <c r="E63" s="3"/>
      <c r="F63" s="3"/>
      <c r="G63" s="3"/>
      <c r="H63" s="3"/>
      <c r="I63" s="3"/>
      <c r="J63" s="3"/>
      <c r="K63" s="3"/>
      <c r="L63" s="9"/>
      <c r="M63" s="9"/>
      <c r="N63" s="9"/>
      <c r="O63" s="3"/>
      <c r="P63" s="3"/>
      <c r="Q63" s="3"/>
      <c r="R63" s="3"/>
      <c r="S63" s="3"/>
      <c r="T63" s="3"/>
      <c r="U63" s="3"/>
      <c r="V63" s="3"/>
      <c r="W63" s="3"/>
      <c r="X63" s="3"/>
      <c r="Y63" s="3"/>
      <c r="Z63" s="3"/>
    </row>
    <row r="64">
      <c r="A64" s="6" t="s">
        <v>297</v>
      </c>
      <c r="B64" s="3"/>
      <c r="C64" s="3"/>
      <c r="D64" s="3"/>
      <c r="E64" s="3"/>
      <c r="F64" s="3"/>
      <c r="G64" s="3"/>
      <c r="H64" s="3"/>
      <c r="I64" s="3"/>
      <c r="J64" s="3"/>
      <c r="K64" s="3"/>
      <c r="L64" s="9"/>
      <c r="M64" s="9"/>
      <c r="N64" s="9"/>
      <c r="O64" s="3"/>
      <c r="P64" s="3"/>
      <c r="Q64" s="3"/>
      <c r="R64" s="3"/>
      <c r="S64" s="3"/>
      <c r="T64" s="3"/>
      <c r="U64" s="3"/>
      <c r="V64" s="3"/>
      <c r="W64" s="3"/>
      <c r="X64" s="3"/>
      <c r="Y64" s="3"/>
      <c r="Z64" s="3"/>
    </row>
    <row r="65">
      <c r="A65" s="6" t="s">
        <v>299</v>
      </c>
    </row>
    <row r="67">
      <c r="A67" s="4" t="s">
        <v>301</v>
      </c>
      <c r="B67" s="16"/>
      <c r="C67" s="16"/>
      <c r="D67" s="5"/>
    </row>
    <row r="68">
      <c r="A68" s="8" t="s">
        <v>303</v>
      </c>
      <c r="B68" s="16"/>
      <c r="C68" s="16"/>
      <c r="D68" s="5"/>
    </row>
    <row r="69">
      <c r="A69" s="8" t="s">
        <v>305</v>
      </c>
      <c r="B69" s="16"/>
      <c r="C69" s="16"/>
      <c r="D69" s="5"/>
    </row>
    <row r="70">
      <c r="A70" s="8" t="s">
        <v>309</v>
      </c>
      <c r="B70" s="16"/>
      <c r="C70" s="16"/>
      <c r="D70" s="5"/>
    </row>
    <row r="71">
      <c r="A71" s="3"/>
      <c r="B71" s="3"/>
      <c r="C71" s="3"/>
    </row>
    <row r="72">
      <c r="A72" s="52" t="s">
        <v>312</v>
      </c>
      <c r="B72" s="52" t="s">
        <v>313</v>
      </c>
      <c r="C72" s="52" t="s">
        <v>314</v>
      </c>
    </row>
    <row r="73">
      <c r="A73" s="22" t="s">
        <v>315</v>
      </c>
      <c r="B73" s="22" t="s">
        <v>316</v>
      </c>
      <c r="C73" s="22" t="s">
        <v>318</v>
      </c>
    </row>
    <row r="74">
      <c r="A74" s="22" t="s">
        <v>319</v>
      </c>
      <c r="B74" s="22" t="s">
        <v>320</v>
      </c>
      <c r="C74" s="22" t="s">
        <v>323</v>
      </c>
    </row>
    <row r="75">
      <c r="A75" s="22" t="s">
        <v>324</v>
      </c>
      <c r="B75" s="22" t="s">
        <v>326</v>
      </c>
      <c r="C75" s="22" t="s">
        <v>328</v>
      </c>
    </row>
    <row r="76">
      <c r="A76" s="22" t="s">
        <v>333</v>
      </c>
      <c r="B76" s="22" t="s">
        <v>335</v>
      </c>
      <c r="C76" s="22" t="s">
        <v>336</v>
      </c>
    </row>
    <row r="77">
      <c r="A77" s="22" t="s">
        <v>339</v>
      </c>
      <c r="B77" s="22" t="s">
        <v>341</v>
      </c>
      <c r="C77" s="22" t="s">
        <v>342</v>
      </c>
    </row>
    <row r="80">
      <c r="A80" s="3"/>
      <c r="B80" s="3"/>
      <c r="C80" s="3"/>
      <c r="D80" s="3"/>
      <c r="E80" s="3"/>
      <c r="F80" s="3"/>
      <c r="G80" s="3"/>
      <c r="H80" s="3"/>
      <c r="I80" s="3"/>
      <c r="J80" s="3"/>
      <c r="K80" s="3"/>
      <c r="L80" s="9"/>
      <c r="M80" s="9"/>
      <c r="N80" s="9"/>
      <c r="O80" s="9"/>
      <c r="P80" s="9"/>
      <c r="Q80" s="9"/>
      <c r="R80" s="9"/>
      <c r="S80" s="9"/>
      <c r="T80" s="9"/>
      <c r="U80" s="9"/>
      <c r="V80" s="9"/>
      <c r="W80" s="3"/>
      <c r="X80" s="3"/>
      <c r="Y80" s="3"/>
      <c r="Z80" s="3"/>
    </row>
    <row r="81">
      <c r="A81" s="3"/>
      <c r="B81" s="3"/>
      <c r="C81" s="3"/>
      <c r="D81" s="3"/>
      <c r="E81" s="3"/>
      <c r="F81" s="3"/>
      <c r="G81" s="3"/>
      <c r="H81" s="3"/>
      <c r="I81" s="3"/>
      <c r="J81" s="3"/>
      <c r="K81" s="3"/>
      <c r="L81" s="9"/>
      <c r="M81" s="9"/>
      <c r="N81" s="9"/>
      <c r="O81" s="9"/>
      <c r="P81" s="9"/>
      <c r="Q81" s="9"/>
      <c r="R81" s="9"/>
      <c r="S81" s="9"/>
      <c r="T81" s="9"/>
      <c r="U81" s="9"/>
      <c r="V81" s="9"/>
      <c r="W81" s="3"/>
      <c r="X81" s="3"/>
      <c r="Y81" s="3"/>
      <c r="Z81" s="3"/>
    </row>
    <row r="82">
      <c r="A82" s="3"/>
      <c r="B82" s="3"/>
      <c r="C82" s="3"/>
      <c r="D82" s="3"/>
      <c r="E82" s="3"/>
      <c r="F82" s="3"/>
      <c r="G82" s="3"/>
      <c r="H82" s="3"/>
      <c r="I82" s="3"/>
      <c r="J82" s="3"/>
      <c r="K82" s="3"/>
      <c r="L82" s="9"/>
      <c r="M82" s="9"/>
      <c r="N82" s="9"/>
      <c r="O82" s="9"/>
      <c r="P82" s="9"/>
      <c r="Q82" s="9"/>
      <c r="R82" s="9"/>
      <c r="S82" s="9"/>
      <c r="T82" s="9"/>
      <c r="U82" s="9"/>
      <c r="V82" s="9"/>
      <c r="W82" s="3"/>
      <c r="X82" s="3"/>
      <c r="Y82" s="3"/>
      <c r="Z82" s="3"/>
    </row>
    <row r="83">
      <c r="A83" s="3"/>
      <c r="B83" s="3"/>
      <c r="C83" s="3"/>
      <c r="D83" s="3"/>
      <c r="E83" s="3"/>
      <c r="F83" s="3"/>
      <c r="G83" s="3"/>
      <c r="H83" s="3"/>
      <c r="I83" s="3"/>
      <c r="J83" s="3"/>
      <c r="K83" s="3"/>
      <c r="L83" s="9"/>
      <c r="M83" s="9"/>
      <c r="N83" s="9"/>
      <c r="O83" s="9"/>
      <c r="P83" s="9"/>
      <c r="Q83" s="9"/>
      <c r="R83" s="9"/>
      <c r="S83" s="9"/>
      <c r="T83" s="9"/>
      <c r="U83" s="9"/>
      <c r="V83" s="9"/>
      <c r="W83" s="3"/>
      <c r="X83" s="3"/>
      <c r="Y83" s="3"/>
      <c r="Z83" s="3"/>
    </row>
    <row r="84">
      <c r="A84" s="2"/>
      <c r="B84" s="3"/>
      <c r="C84" s="3"/>
      <c r="D84" s="3"/>
      <c r="E84" s="3"/>
      <c r="F84" s="3"/>
      <c r="G84" s="3"/>
      <c r="H84" s="3"/>
      <c r="I84" s="3"/>
      <c r="J84" s="3"/>
      <c r="K84" s="3"/>
      <c r="L84" s="3"/>
      <c r="M84" s="3"/>
      <c r="N84" s="3"/>
      <c r="O84" s="3"/>
      <c r="P84" s="3"/>
      <c r="Q84" s="3"/>
      <c r="R84" s="3"/>
      <c r="S84" s="3"/>
      <c r="T84" s="3"/>
      <c r="U84" s="3"/>
      <c r="V84" s="3"/>
      <c r="W84" s="3"/>
      <c r="X84" s="3"/>
      <c r="Y84" s="3"/>
      <c r="Z84" s="3"/>
    </row>
    <row r="85">
      <c r="A85" s="2"/>
      <c r="B85" s="3"/>
      <c r="C85" s="3"/>
      <c r="D85" s="3"/>
      <c r="E85" s="3"/>
      <c r="F85" s="3"/>
      <c r="G85" s="3"/>
      <c r="H85" s="3"/>
      <c r="I85" s="3"/>
      <c r="J85" s="3"/>
      <c r="K85" s="3"/>
      <c r="L85" s="3"/>
      <c r="M85" s="3"/>
      <c r="N85" s="3"/>
      <c r="O85" s="3"/>
      <c r="P85" s="3"/>
      <c r="Q85" s="3"/>
      <c r="R85" s="3"/>
      <c r="S85" s="3"/>
      <c r="T85" s="3"/>
      <c r="U85" s="3"/>
      <c r="V85" s="3"/>
      <c r="W85" s="3"/>
      <c r="X85" s="3"/>
      <c r="Y85" s="3"/>
      <c r="Z85" s="3"/>
    </row>
    <row r="86">
      <c r="A86" s="85"/>
      <c r="B86" s="3"/>
      <c r="C86" s="3"/>
      <c r="D86" s="3"/>
      <c r="E86" s="3"/>
      <c r="F86" s="3"/>
      <c r="G86" s="3"/>
      <c r="H86" s="3"/>
      <c r="I86" s="3"/>
      <c r="J86" s="3"/>
      <c r="K86" s="3"/>
      <c r="L86" s="3"/>
      <c r="M86" s="3"/>
      <c r="N86" s="3"/>
      <c r="O86" s="3"/>
      <c r="P86" s="3"/>
      <c r="Q86" s="3"/>
      <c r="R86" s="3"/>
      <c r="S86" s="3"/>
      <c r="T86" s="3"/>
      <c r="U86" s="3"/>
      <c r="V86" s="3"/>
      <c r="W86" s="3"/>
      <c r="X86" s="3"/>
      <c r="Y86" s="3"/>
      <c r="Z86" s="3"/>
    </row>
    <row r="87">
      <c r="A87" s="21"/>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21"/>
      <c r="B89" s="3"/>
      <c r="C89" s="3"/>
      <c r="D89" s="3"/>
      <c r="E89" s="3"/>
      <c r="F89" s="3"/>
      <c r="G89" s="3"/>
      <c r="H89" s="3"/>
      <c r="I89" s="9"/>
      <c r="J89" s="9"/>
      <c r="K89" s="9"/>
      <c r="L89" s="3"/>
      <c r="M89" s="3"/>
      <c r="N89" s="3"/>
      <c r="O89" s="3"/>
      <c r="P89" s="3"/>
      <c r="Q89" s="3"/>
      <c r="R89" s="3"/>
      <c r="S89" s="3"/>
      <c r="T89" s="3"/>
      <c r="U89" s="3"/>
      <c r="V89" s="3"/>
      <c r="W89" s="3"/>
      <c r="X89" s="3"/>
      <c r="Y89" s="3"/>
      <c r="Z89" s="3"/>
    </row>
    <row r="90">
      <c r="D90" s="3"/>
      <c r="E90" s="3"/>
      <c r="F90" s="3"/>
      <c r="G90" s="3"/>
      <c r="H90" s="3"/>
      <c r="I90" s="9"/>
      <c r="J90" s="9"/>
      <c r="K90" s="9"/>
      <c r="L90" s="3"/>
      <c r="M90" s="3"/>
      <c r="N90" s="3"/>
      <c r="O90" s="3"/>
      <c r="P90" s="3"/>
      <c r="Q90" s="3"/>
      <c r="R90" s="3"/>
      <c r="S90" s="3"/>
      <c r="T90" s="3"/>
      <c r="U90" s="3"/>
      <c r="V90" s="3"/>
      <c r="W90" s="3"/>
      <c r="X90" s="3"/>
      <c r="Y90" s="3"/>
      <c r="Z90" s="3"/>
    </row>
    <row r="91">
      <c r="D91" s="3"/>
      <c r="E91" s="3"/>
      <c r="F91" s="3"/>
      <c r="G91" s="3"/>
      <c r="H91" s="3"/>
      <c r="I91" s="9"/>
      <c r="J91" s="9"/>
      <c r="K91" s="9"/>
      <c r="L91" s="3"/>
      <c r="M91" s="3"/>
      <c r="N91" s="3"/>
      <c r="O91" s="3"/>
      <c r="P91" s="3"/>
      <c r="Q91" s="3"/>
      <c r="R91" s="3"/>
      <c r="S91" s="3"/>
      <c r="T91" s="3"/>
      <c r="U91" s="3"/>
      <c r="V91" s="3"/>
      <c r="W91" s="3"/>
      <c r="X91" s="3"/>
      <c r="Y91" s="3"/>
      <c r="Z91" s="3"/>
    </row>
    <row r="92">
      <c r="D92" s="3"/>
      <c r="E92" s="3"/>
      <c r="F92" s="3"/>
      <c r="G92" s="3"/>
      <c r="H92" s="3"/>
      <c r="I92" s="9"/>
      <c r="J92" s="9"/>
      <c r="K92" s="9"/>
      <c r="L92" s="3"/>
      <c r="M92" s="3"/>
      <c r="N92" s="3"/>
      <c r="O92" s="3"/>
      <c r="P92" s="3"/>
      <c r="Q92" s="3"/>
      <c r="R92" s="3"/>
      <c r="S92" s="3"/>
      <c r="T92" s="3"/>
      <c r="U92" s="3"/>
      <c r="V92" s="3"/>
      <c r="W92" s="3"/>
      <c r="X92" s="3"/>
      <c r="Y92" s="3"/>
      <c r="Z92" s="3"/>
    </row>
    <row r="93">
      <c r="D93" s="3"/>
      <c r="E93" s="3"/>
      <c r="F93" s="3"/>
      <c r="G93" s="3"/>
      <c r="H93" s="3"/>
      <c r="I93" s="9"/>
      <c r="J93" s="9"/>
      <c r="K93" s="9"/>
      <c r="L93" s="3"/>
      <c r="M93" s="3"/>
      <c r="N93" s="3"/>
      <c r="O93" s="3"/>
      <c r="P93" s="3"/>
      <c r="Q93" s="3"/>
      <c r="R93" s="3"/>
      <c r="S93" s="3"/>
      <c r="T93" s="3"/>
      <c r="U93" s="3"/>
      <c r="V93" s="3"/>
      <c r="W93" s="3"/>
      <c r="X93" s="3"/>
      <c r="Y93" s="3"/>
      <c r="Z93" s="3"/>
    </row>
    <row r="94">
      <c r="D94" s="3"/>
      <c r="E94" s="3"/>
      <c r="F94" s="3"/>
      <c r="G94" s="3"/>
      <c r="H94" s="3"/>
      <c r="I94" s="9"/>
      <c r="J94" s="9"/>
      <c r="K94" s="9"/>
      <c r="L94" s="3"/>
      <c r="M94" s="3"/>
      <c r="N94" s="3"/>
      <c r="O94" s="3"/>
      <c r="P94" s="3"/>
      <c r="Q94" s="3"/>
      <c r="R94" s="3"/>
      <c r="S94" s="3"/>
      <c r="T94" s="3"/>
      <c r="U94" s="3"/>
      <c r="V94" s="3"/>
      <c r="W94" s="3"/>
      <c r="X94" s="3"/>
      <c r="Y94" s="3"/>
      <c r="Z94" s="3"/>
    </row>
    <row r="95">
      <c r="D95" s="3"/>
      <c r="E95" s="3"/>
      <c r="F95" s="3"/>
      <c r="G95" s="3"/>
      <c r="H95" s="3"/>
      <c r="I95" s="3"/>
      <c r="J95" s="3"/>
      <c r="K95" s="3"/>
      <c r="L95" s="3"/>
      <c r="M95" s="3"/>
      <c r="N95" s="3"/>
      <c r="O95" s="3"/>
      <c r="P95" s="3"/>
      <c r="Q95" s="3"/>
      <c r="R95" s="3"/>
      <c r="S95" s="3"/>
      <c r="T95" s="3"/>
      <c r="U95" s="3"/>
      <c r="V95" s="3"/>
      <c r="W95" s="3"/>
      <c r="X95" s="3"/>
      <c r="Y95" s="3"/>
      <c r="Z95" s="3"/>
    </row>
    <row r="96">
      <c r="D96" s="3"/>
      <c r="E96" s="3"/>
      <c r="F96" s="3"/>
      <c r="G96" s="3"/>
      <c r="H96" s="3"/>
      <c r="I96" s="3"/>
      <c r="J96" s="3"/>
      <c r="K96" s="3"/>
      <c r="L96" s="3"/>
      <c r="M96" s="3"/>
      <c r="N96" s="3"/>
      <c r="O96" s="3"/>
      <c r="P96" s="3"/>
      <c r="Q96" s="3"/>
      <c r="R96" s="3"/>
      <c r="S96" s="3"/>
      <c r="T96" s="3"/>
      <c r="U96" s="3"/>
      <c r="V96" s="3"/>
      <c r="W96" s="3"/>
      <c r="X96" s="3"/>
      <c r="Y96" s="3"/>
      <c r="Z96" s="3"/>
    </row>
    <row r="97">
      <c r="D97" s="3"/>
      <c r="E97" s="3"/>
      <c r="F97" s="3"/>
      <c r="G97" s="3"/>
      <c r="H97" s="3"/>
      <c r="I97" s="3"/>
      <c r="J97" s="3"/>
      <c r="K97" s="3"/>
      <c r="L97" s="3"/>
      <c r="M97" s="3"/>
      <c r="N97" s="3"/>
      <c r="O97" s="3"/>
      <c r="P97" s="3"/>
      <c r="Q97" s="3"/>
      <c r="R97" s="3"/>
      <c r="S97" s="3"/>
      <c r="T97" s="3"/>
      <c r="U97" s="3"/>
      <c r="V97" s="3"/>
      <c r="W97" s="3"/>
      <c r="X97" s="3"/>
      <c r="Y97" s="3"/>
      <c r="Z97" s="3"/>
    </row>
    <row r="98">
      <c r="D98" s="3"/>
      <c r="E98" s="3"/>
      <c r="F98" s="3"/>
      <c r="G98" s="3"/>
      <c r="H98" s="3"/>
      <c r="I98" s="3"/>
      <c r="J98" s="3"/>
      <c r="K98" s="3"/>
      <c r="L98" s="3"/>
      <c r="M98" s="3"/>
      <c r="N98" s="3"/>
      <c r="O98" s="3"/>
      <c r="P98" s="3"/>
      <c r="Q98" s="3"/>
      <c r="R98" s="3"/>
      <c r="S98" s="3"/>
      <c r="T98" s="3"/>
      <c r="U98" s="3"/>
      <c r="V98" s="3"/>
      <c r="W98" s="3"/>
      <c r="X98" s="3"/>
      <c r="Y98" s="3"/>
      <c r="Z98" s="3"/>
    </row>
    <row r="99">
      <c r="D99" s="3"/>
      <c r="E99" s="3"/>
      <c r="F99" s="3"/>
      <c r="G99" s="3"/>
      <c r="H99" s="3"/>
      <c r="I99" s="3"/>
      <c r="J99" s="3"/>
      <c r="K99" s="3"/>
      <c r="L99" s="3"/>
      <c r="M99" s="3"/>
      <c r="N99" s="3"/>
      <c r="O99" s="3"/>
      <c r="P99" s="3"/>
      <c r="Q99" s="3"/>
      <c r="R99" s="3"/>
      <c r="S99" s="3"/>
      <c r="T99" s="3"/>
      <c r="U99" s="3"/>
      <c r="V99" s="3"/>
      <c r="W99" s="3"/>
      <c r="X99" s="3"/>
      <c r="Y99" s="3"/>
      <c r="Z99" s="3"/>
    </row>
    <row r="100">
      <c r="D100" s="9"/>
      <c r="E100" s="9"/>
      <c r="F100" s="9"/>
      <c r="G100" s="9"/>
      <c r="H100" s="9"/>
      <c r="I100" s="3"/>
      <c r="J100" s="3"/>
      <c r="K100" s="3"/>
      <c r="L100" s="3"/>
      <c r="M100" s="3"/>
      <c r="N100" s="3"/>
      <c r="O100" s="3"/>
      <c r="P100" s="3"/>
      <c r="Q100" s="3"/>
      <c r="R100" s="3"/>
      <c r="S100" s="3"/>
      <c r="T100" s="3"/>
      <c r="U100" s="3"/>
      <c r="V100" s="3"/>
      <c r="W100" s="3"/>
      <c r="X100" s="3"/>
      <c r="Y100" s="3"/>
      <c r="Z100" s="3"/>
    </row>
    <row r="101">
      <c r="D101" s="9"/>
      <c r="E101" s="9"/>
      <c r="F101" s="9"/>
      <c r="G101" s="9"/>
      <c r="H101" s="9"/>
      <c r="I101" s="3"/>
      <c r="J101" s="3"/>
      <c r="K101" s="3"/>
      <c r="L101" s="3"/>
      <c r="M101" s="3"/>
      <c r="N101" s="3"/>
      <c r="O101" s="3"/>
      <c r="P101" s="3"/>
      <c r="Q101" s="3"/>
      <c r="R101" s="3"/>
      <c r="S101" s="3"/>
      <c r="T101" s="3"/>
      <c r="U101" s="3"/>
      <c r="V101" s="3"/>
      <c r="W101" s="3"/>
      <c r="X101" s="3"/>
      <c r="Y101" s="3"/>
      <c r="Z101" s="3"/>
    </row>
    <row r="102">
      <c r="D102" s="9"/>
      <c r="E102" s="9"/>
      <c r="F102" s="9"/>
      <c r="G102" s="9"/>
      <c r="H102" s="9"/>
      <c r="I102" s="3"/>
      <c r="J102" s="3"/>
      <c r="K102" s="3"/>
      <c r="L102" s="3"/>
      <c r="M102" s="3"/>
      <c r="N102" s="3"/>
      <c r="O102" s="3"/>
      <c r="P102" s="3"/>
      <c r="Q102" s="3"/>
      <c r="R102" s="3"/>
      <c r="S102" s="3"/>
      <c r="T102" s="3"/>
      <c r="U102" s="3"/>
      <c r="V102" s="3"/>
      <c r="W102" s="3"/>
      <c r="X102" s="3"/>
      <c r="Y102" s="3"/>
      <c r="Z102" s="3"/>
    </row>
    <row r="103">
      <c r="D103" s="9"/>
      <c r="E103" s="9"/>
      <c r="F103" s="9"/>
      <c r="G103" s="9"/>
      <c r="H103" s="9"/>
      <c r="I103" s="3"/>
      <c r="J103" s="3"/>
      <c r="K103" s="3"/>
      <c r="L103" s="3"/>
      <c r="M103" s="3"/>
      <c r="N103" s="3"/>
      <c r="O103" s="3"/>
      <c r="P103" s="3"/>
      <c r="Q103" s="3"/>
      <c r="R103" s="3"/>
      <c r="S103" s="3"/>
      <c r="T103" s="3"/>
      <c r="U103" s="3"/>
      <c r="V103" s="3"/>
      <c r="W103" s="3"/>
      <c r="X103" s="3"/>
      <c r="Y103" s="3"/>
      <c r="Z103" s="3"/>
    </row>
    <row r="104">
      <c r="D104" s="9"/>
      <c r="E104" s="9"/>
      <c r="F104" s="9"/>
      <c r="G104" s="9"/>
      <c r="H104" s="9"/>
      <c r="I104" s="3"/>
      <c r="J104" s="3"/>
      <c r="K104" s="3"/>
      <c r="L104" s="3"/>
      <c r="M104" s="3"/>
      <c r="N104" s="3"/>
      <c r="O104" s="3"/>
      <c r="P104" s="3"/>
      <c r="Q104" s="3"/>
      <c r="R104" s="3"/>
      <c r="S104" s="3"/>
      <c r="T104" s="3"/>
      <c r="U104" s="3"/>
      <c r="V104" s="3"/>
      <c r="W104" s="3"/>
      <c r="X104" s="3"/>
      <c r="Y104" s="3"/>
      <c r="Z104" s="3"/>
    </row>
    <row r="105">
      <c r="D105" s="9"/>
      <c r="E105" s="9"/>
      <c r="F105" s="9"/>
      <c r="G105" s="9"/>
      <c r="H105" s="9"/>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sheetData>
  <mergeCells count="16">
    <mergeCell ref="A3:B3"/>
    <mergeCell ref="A8:B8"/>
    <mergeCell ref="A9:B9"/>
    <mergeCell ref="A10:B10"/>
    <mergeCell ref="A11:B11"/>
    <mergeCell ref="A12:B12"/>
    <mergeCell ref="A13:B13"/>
    <mergeCell ref="A69:D69"/>
    <mergeCell ref="A70:D70"/>
    <mergeCell ref="A14:B14"/>
    <mergeCell ref="A15:B15"/>
    <mergeCell ref="A16:B16"/>
    <mergeCell ref="A17:B17"/>
    <mergeCell ref="A19:D19"/>
    <mergeCell ref="A67:D67"/>
    <mergeCell ref="A68:D68"/>
  </mergeCells>
  <hyperlinks>
    <hyperlink r:id="rId1" ref="B4"/>
    <hyperlink r:id="rId2" ref="B5"/>
    <hyperlink r:id="rId3" ref="B6"/>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6.88"/>
    <col customWidth="1" min="2" max="2" width="46.0"/>
    <col customWidth="1" min="3" max="3" width="45.88"/>
    <col customWidth="1" min="4" max="4" width="30.5"/>
    <col customWidth="1" min="5" max="5" width="85.88"/>
    <col customWidth="1" min="6" max="6" width="80.25"/>
    <col customWidth="1" min="7" max="7" width="46.38"/>
    <col customWidth="1" min="8" max="8" width="38.5"/>
  </cols>
  <sheetData>
    <row r="1">
      <c r="A1" s="11" t="s">
        <v>12</v>
      </c>
      <c r="B1" s="12"/>
      <c r="C1" s="12"/>
      <c r="D1" s="12"/>
      <c r="E1" s="12"/>
      <c r="F1" s="12"/>
      <c r="G1" s="12"/>
      <c r="H1" s="13"/>
      <c r="I1" s="13"/>
      <c r="J1" s="13"/>
      <c r="K1" s="13"/>
      <c r="L1" s="13"/>
      <c r="M1" s="13"/>
      <c r="N1" s="13"/>
      <c r="O1" s="13"/>
      <c r="P1" s="13"/>
      <c r="Q1" s="13"/>
      <c r="R1" s="13"/>
      <c r="S1" s="13"/>
      <c r="T1" s="13"/>
      <c r="U1" s="13"/>
      <c r="V1" s="13"/>
      <c r="W1" s="13"/>
      <c r="X1" s="13"/>
      <c r="Y1" s="13"/>
      <c r="Z1" s="13"/>
    </row>
    <row r="2">
      <c r="A2" s="12"/>
      <c r="B2" s="12"/>
      <c r="C2" s="12"/>
      <c r="D2" s="12"/>
      <c r="E2" s="12"/>
      <c r="F2" s="12"/>
      <c r="G2" s="12"/>
      <c r="H2" s="13"/>
      <c r="I2" s="13"/>
      <c r="J2" s="13"/>
      <c r="K2" s="13"/>
      <c r="L2" s="13"/>
      <c r="M2" s="13"/>
      <c r="N2" s="13"/>
      <c r="O2" s="13"/>
      <c r="P2" s="13"/>
      <c r="Q2" s="13"/>
      <c r="R2" s="13"/>
      <c r="S2" s="13"/>
      <c r="T2" s="13"/>
      <c r="U2" s="13"/>
      <c r="V2" s="13"/>
      <c r="W2" s="13"/>
      <c r="X2" s="13"/>
      <c r="Y2" s="13"/>
      <c r="Z2" s="13"/>
    </row>
    <row r="3">
      <c r="A3" s="15" t="s">
        <v>15</v>
      </c>
      <c r="L3" s="13"/>
      <c r="M3" s="13"/>
      <c r="N3" s="13"/>
      <c r="O3" s="13"/>
      <c r="P3" s="13"/>
      <c r="Q3" s="13"/>
      <c r="R3" s="13"/>
      <c r="S3" s="13"/>
      <c r="T3" s="13"/>
      <c r="U3" s="13"/>
      <c r="V3" s="13"/>
      <c r="W3" s="13"/>
      <c r="X3" s="13"/>
      <c r="Y3" s="13"/>
      <c r="Z3" s="13"/>
    </row>
    <row r="4">
      <c r="A4" s="12"/>
      <c r="B4" s="12"/>
      <c r="C4" s="12"/>
      <c r="D4" s="12"/>
      <c r="E4" s="12"/>
      <c r="F4" s="12"/>
      <c r="G4" s="12"/>
      <c r="H4" s="13"/>
      <c r="I4" s="13"/>
      <c r="J4" s="13"/>
      <c r="K4" s="13"/>
      <c r="L4" s="13"/>
      <c r="M4" s="13"/>
      <c r="N4" s="13"/>
      <c r="O4" s="13"/>
      <c r="P4" s="13"/>
      <c r="Q4" s="13"/>
      <c r="R4" s="13"/>
      <c r="S4" s="13"/>
      <c r="T4" s="13"/>
      <c r="U4" s="13"/>
      <c r="V4" s="13"/>
      <c r="W4" s="13"/>
      <c r="X4" s="13"/>
      <c r="Y4" s="13"/>
      <c r="Z4" s="13"/>
    </row>
    <row r="5">
      <c r="A5" s="17" t="s">
        <v>22</v>
      </c>
      <c r="B5" s="16"/>
      <c r="C5" s="5"/>
      <c r="D5" s="18">
        <v>1999.0</v>
      </c>
      <c r="E5" s="19"/>
      <c r="F5" s="12"/>
      <c r="G5" s="12"/>
      <c r="H5" s="13"/>
      <c r="I5" s="13"/>
      <c r="J5" s="13"/>
      <c r="K5" s="13"/>
      <c r="L5" s="13"/>
      <c r="M5" s="13"/>
      <c r="N5" s="13"/>
      <c r="O5" s="13"/>
      <c r="P5" s="13"/>
      <c r="Q5" s="13"/>
      <c r="R5" s="13"/>
      <c r="S5" s="13"/>
      <c r="T5" s="13"/>
      <c r="U5" s="13"/>
      <c r="V5" s="13"/>
      <c r="W5" s="13"/>
      <c r="X5" s="13"/>
      <c r="Y5" s="13"/>
      <c r="Z5" s="13"/>
    </row>
    <row r="6">
      <c r="A6" s="19"/>
      <c r="D6" s="21"/>
      <c r="E6" s="19"/>
      <c r="F6" s="12"/>
      <c r="G6" s="12"/>
      <c r="H6" s="13"/>
      <c r="I6" s="13"/>
      <c r="J6" s="13"/>
      <c r="K6" s="13"/>
      <c r="L6" s="13"/>
      <c r="M6" s="13"/>
      <c r="N6" s="13"/>
      <c r="O6" s="13"/>
      <c r="P6" s="13"/>
      <c r="Q6" s="13"/>
      <c r="R6" s="13"/>
      <c r="S6" s="13"/>
      <c r="T6" s="13"/>
      <c r="U6" s="13"/>
      <c r="V6" s="13"/>
      <c r="W6" s="13"/>
      <c r="X6" s="13"/>
      <c r="Y6" s="13"/>
      <c r="Z6" s="13"/>
    </row>
    <row r="7">
      <c r="A7" s="23" t="s">
        <v>31</v>
      </c>
      <c r="B7" s="16"/>
      <c r="C7" s="5"/>
      <c r="D7" s="6" t="s">
        <v>37</v>
      </c>
      <c r="E7" s="19"/>
      <c r="F7" s="12"/>
      <c r="G7" s="12"/>
      <c r="H7" s="13"/>
      <c r="I7" s="13"/>
      <c r="J7" s="13"/>
      <c r="K7" s="13"/>
      <c r="L7" s="13"/>
      <c r="M7" s="13"/>
      <c r="N7" s="13"/>
      <c r="O7" s="13"/>
      <c r="P7" s="13"/>
      <c r="Q7" s="13"/>
      <c r="R7" s="13"/>
      <c r="S7" s="13"/>
      <c r="T7" s="13"/>
      <c r="U7" s="13"/>
      <c r="V7" s="13"/>
      <c r="W7" s="13"/>
      <c r="X7" s="13"/>
      <c r="Y7" s="13"/>
      <c r="Z7" s="13"/>
    </row>
    <row r="8">
      <c r="A8" s="24"/>
      <c r="D8" s="21"/>
      <c r="E8" s="21"/>
      <c r="F8" s="21"/>
      <c r="G8" s="12"/>
      <c r="H8" s="13"/>
      <c r="I8" s="13"/>
      <c r="J8" s="13"/>
      <c r="K8" s="13"/>
      <c r="L8" s="13"/>
      <c r="M8" s="13"/>
      <c r="N8" s="13"/>
      <c r="O8" s="13"/>
      <c r="P8" s="13"/>
      <c r="Q8" s="13"/>
      <c r="R8" s="13"/>
      <c r="S8" s="13"/>
      <c r="T8" s="13"/>
      <c r="U8" s="13"/>
      <c r="V8" s="13"/>
      <c r="W8" s="13"/>
      <c r="X8" s="13"/>
      <c r="Y8" s="13"/>
      <c r="Z8" s="13"/>
    </row>
    <row r="9">
      <c r="A9" s="25" t="s">
        <v>47</v>
      </c>
      <c r="B9" s="26"/>
      <c r="C9" s="27"/>
      <c r="D9" s="29" t="s">
        <v>50</v>
      </c>
      <c r="E9" s="29" t="s">
        <v>53</v>
      </c>
      <c r="F9" s="29" t="s">
        <v>54</v>
      </c>
      <c r="G9" s="12"/>
      <c r="H9" s="13"/>
      <c r="I9" s="13"/>
      <c r="J9" s="13"/>
      <c r="K9" s="13"/>
      <c r="L9" s="13"/>
      <c r="M9" s="13"/>
      <c r="N9" s="13"/>
      <c r="O9" s="13"/>
      <c r="P9" s="13"/>
      <c r="Q9" s="13"/>
      <c r="R9" s="13"/>
      <c r="S9" s="13"/>
      <c r="T9" s="13"/>
      <c r="U9" s="13"/>
      <c r="V9" s="13"/>
      <c r="W9" s="13"/>
      <c r="X9" s="13"/>
      <c r="Y9" s="13"/>
      <c r="Z9" s="13"/>
    </row>
    <row r="10">
      <c r="A10" s="31"/>
      <c r="C10" s="32"/>
      <c r="D10" s="6" t="s">
        <v>59</v>
      </c>
      <c r="E10" s="6" t="s">
        <v>60</v>
      </c>
      <c r="F10" s="33" t="s">
        <v>61</v>
      </c>
      <c r="G10" s="12"/>
      <c r="H10" s="13"/>
      <c r="I10" s="13"/>
      <c r="J10" s="13"/>
      <c r="K10" s="13"/>
      <c r="L10" s="13"/>
      <c r="M10" s="13"/>
      <c r="N10" s="13"/>
      <c r="O10" s="13"/>
      <c r="P10" s="13"/>
      <c r="Q10" s="13"/>
      <c r="R10" s="13"/>
      <c r="S10" s="13"/>
      <c r="T10" s="13"/>
      <c r="U10" s="13"/>
      <c r="V10" s="13"/>
      <c r="W10" s="13"/>
      <c r="X10" s="13"/>
      <c r="Y10" s="13"/>
      <c r="Z10" s="13"/>
    </row>
    <row r="11">
      <c r="A11" s="31"/>
      <c r="C11" s="32"/>
      <c r="D11" s="6" t="s">
        <v>64</v>
      </c>
      <c r="E11" s="6" t="s">
        <v>65</v>
      </c>
      <c r="F11" s="33" t="s">
        <v>66</v>
      </c>
      <c r="G11" s="12"/>
      <c r="H11" s="13"/>
      <c r="I11" s="13"/>
      <c r="J11" s="13"/>
      <c r="K11" s="13"/>
      <c r="L11" s="13"/>
      <c r="M11" s="13"/>
      <c r="N11" s="13"/>
      <c r="O11" s="13"/>
      <c r="P11" s="13"/>
      <c r="Q11" s="13"/>
      <c r="R11" s="13"/>
      <c r="S11" s="13"/>
      <c r="T11" s="13"/>
      <c r="U11" s="13"/>
      <c r="V11" s="13"/>
      <c r="W11" s="13"/>
      <c r="X11" s="13"/>
      <c r="Y11" s="13"/>
      <c r="Z11" s="13"/>
    </row>
    <row r="12">
      <c r="A12" s="31"/>
      <c r="C12" s="32"/>
      <c r="D12" s="6" t="s">
        <v>69</v>
      </c>
      <c r="E12" s="6" t="s">
        <v>70</v>
      </c>
      <c r="F12" s="33" t="s">
        <v>71</v>
      </c>
      <c r="G12" s="12"/>
      <c r="H12" s="13"/>
      <c r="I12" s="13"/>
      <c r="J12" s="13"/>
      <c r="K12" s="13"/>
      <c r="L12" s="13"/>
      <c r="M12" s="13"/>
      <c r="N12" s="13"/>
      <c r="O12" s="13"/>
      <c r="P12" s="13"/>
      <c r="Q12" s="13"/>
      <c r="R12" s="13"/>
      <c r="S12" s="13"/>
      <c r="T12" s="13"/>
      <c r="U12" s="13"/>
      <c r="V12" s="13"/>
      <c r="W12" s="13"/>
      <c r="X12" s="13"/>
      <c r="Y12" s="13"/>
      <c r="Z12" s="13"/>
    </row>
    <row r="13">
      <c r="A13" s="31"/>
      <c r="C13" s="32"/>
      <c r="D13" s="6" t="s">
        <v>77</v>
      </c>
      <c r="E13" s="6" t="s">
        <v>79</v>
      </c>
      <c r="F13" s="33" t="s">
        <v>80</v>
      </c>
      <c r="G13" s="12"/>
      <c r="H13" s="13"/>
      <c r="I13" s="13"/>
      <c r="J13" s="13"/>
      <c r="K13" s="13"/>
      <c r="L13" s="13"/>
      <c r="M13" s="13"/>
      <c r="N13" s="13"/>
      <c r="O13" s="13"/>
      <c r="P13" s="13"/>
      <c r="Q13" s="13"/>
      <c r="R13" s="13"/>
      <c r="S13" s="13"/>
      <c r="T13" s="13"/>
      <c r="U13" s="13"/>
      <c r="V13" s="13"/>
      <c r="W13" s="13"/>
      <c r="X13" s="13"/>
      <c r="Y13" s="13"/>
      <c r="Z13" s="13"/>
    </row>
    <row r="14">
      <c r="A14" s="31"/>
      <c r="C14" s="32"/>
      <c r="D14" s="6" t="s">
        <v>90</v>
      </c>
      <c r="E14" s="6" t="s">
        <v>91</v>
      </c>
      <c r="F14" s="33" t="s">
        <v>93</v>
      </c>
      <c r="G14" s="12"/>
      <c r="H14" s="13"/>
      <c r="I14" s="13"/>
      <c r="J14" s="13"/>
      <c r="K14" s="13"/>
      <c r="L14" s="13"/>
      <c r="M14" s="13"/>
      <c r="N14" s="13"/>
      <c r="O14" s="13"/>
      <c r="P14" s="13"/>
      <c r="Q14" s="13"/>
      <c r="R14" s="13"/>
      <c r="S14" s="13"/>
      <c r="T14" s="13"/>
      <c r="U14" s="13"/>
      <c r="V14" s="13"/>
      <c r="W14" s="13"/>
      <c r="X14" s="13"/>
      <c r="Y14" s="13"/>
      <c r="Z14" s="13"/>
    </row>
    <row r="15">
      <c r="A15" s="31"/>
      <c r="C15" s="32"/>
      <c r="D15" s="6" t="s">
        <v>97</v>
      </c>
      <c r="E15" s="6" t="s">
        <v>98</v>
      </c>
      <c r="F15" s="33" t="s">
        <v>99</v>
      </c>
      <c r="G15" s="12"/>
      <c r="H15" s="13"/>
      <c r="I15" s="13"/>
      <c r="J15" s="13"/>
      <c r="K15" s="13"/>
      <c r="L15" s="13"/>
      <c r="M15" s="13"/>
      <c r="N15" s="13"/>
      <c r="O15" s="13"/>
      <c r="P15" s="13"/>
      <c r="Q15" s="13"/>
      <c r="R15" s="13"/>
      <c r="S15" s="13"/>
      <c r="T15" s="13"/>
      <c r="U15" s="13"/>
      <c r="V15" s="13"/>
      <c r="W15" s="13"/>
      <c r="X15" s="13"/>
      <c r="Y15" s="13"/>
      <c r="Z15" s="13"/>
    </row>
    <row r="16">
      <c r="A16" s="31"/>
      <c r="C16" s="32"/>
      <c r="D16" s="6" t="s">
        <v>106</v>
      </c>
      <c r="E16" s="6" t="s">
        <v>107</v>
      </c>
      <c r="F16" s="33" t="s">
        <v>108</v>
      </c>
      <c r="G16" s="12"/>
      <c r="H16" s="13"/>
      <c r="I16" s="13"/>
      <c r="J16" s="13"/>
      <c r="K16" s="13"/>
      <c r="L16" s="13"/>
      <c r="M16" s="13"/>
      <c r="N16" s="13"/>
      <c r="O16" s="13"/>
      <c r="P16" s="13"/>
      <c r="Q16" s="13"/>
      <c r="R16" s="13"/>
      <c r="S16" s="13"/>
      <c r="T16" s="13"/>
      <c r="U16" s="13"/>
      <c r="V16" s="13"/>
      <c r="W16" s="13"/>
      <c r="X16" s="13"/>
      <c r="Y16" s="13"/>
      <c r="Z16" s="13"/>
    </row>
    <row r="17">
      <c r="A17" s="31"/>
      <c r="C17" s="32"/>
      <c r="D17" s="6" t="s">
        <v>113</v>
      </c>
      <c r="E17" s="6" t="s">
        <v>114</v>
      </c>
      <c r="F17" s="33" t="s">
        <v>115</v>
      </c>
      <c r="G17" s="12"/>
      <c r="H17" s="13"/>
      <c r="I17" s="13"/>
      <c r="J17" s="13"/>
      <c r="K17" s="13"/>
      <c r="L17" s="13"/>
      <c r="M17" s="13"/>
      <c r="N17" s="13"/>
      <c r="O17" s="13"/>
      <c r="P17" s="13"/>
      <c r="Q17" s="13"/>
      <c r="R17" s="13"/>
      <c r="S17" s="13"/>
      <c r="T17" s="13"/>
      <c r="U17" s="13"/>
      <c r="V17" s="13"/>
      <c r="W17" s="13"/>
      <c r="X17" s="13"/>
      <c r="Y17" s="13"/>
      <c r="Z17" s="13"/>
    </row>
    <row r="18">
      <c r="A18" s="31"/>
      <c r="C18" s="32"/>
      <c r="D18" s="6" t="s">
        <v>120</v>
      </c>
      <c r="E18" s="6" t="s">
        <v>122</v>
      </c>
      <c r="F18" s="33" t="s">
        <v>124</v>
      </c>
      <c r="G18" s="12"/>
      <c r="H18" s="13"/>
      <c r="I18" s="13"/>
      <c r="J18" s="13"/>
      <c r="K18" s="13"/>
      <c r="L18" s="13"/>
      <c r="M18" s="13"/>
      <c r="N18" s="13"/>
      <c r="O18" s="13"/>
      <c r="P18" s="13"/>
      <c r="Q18" s="13"/>
      <c r="R18" s="13"/>
      <c r="S18" s="13"/>
      <c r="T18" s="13"/>
      <c r="U18" s="13"/>
      <c r="V18" s="13"/>
      <c r="W18" s="13"/>
      <c r="X18" s="13"/>
      <c r="Y18" s="13"/>
      <c r="Z18" s="13"/>
    </row>
    <row r="19">
      <c r="A19" s="41"/>
      <c r="B19" s="42"/>
      <c r="C19" s="43"/>
      <c r="D19" s="6" t="s">
        <v>129</v>
      </c>
      <c r="E19" s="6" t="s">
        <v>130</v>
      </c>
      <c r="F19" s="33" t="s">
        <v>131</v>
      </c>
      <c r="G19" s="12"/>
      <c r="H19" s="13"/>
      <c r="I19" s="13"/>
      <c r="J19" s="13"/>
      <c r="K19" s="13"/>
      <c r="L19" s="13"/>
      <c r="M19" s="13"/>
      <c r="N19" s="13"/>
      <c r="O19" s="13"/>
      <c r="P19" s="13"/>
      <c r="Q19" s="13"/>
      <c r="R19" s="13"/>
      <c r="S19" s="13"/>
      <c r="T19" s="13"/>
      <c r="U19" s="13"/>
      <c r="V19" s="13"/>
      <c r="W19" s="13"/>
      <c r="X19" s="13"/>
      <c r="Y19" s="13"/>
      <c r="Z19" s="13"/>
    </row>
    <row r="20">
      <c r="A20" s="24"/>
      <c r="D20" s="3"/>
      <c r="E20" s="3"/>
      <c r="F20" s="13"/>
      <c r="G20" s="12"/>
      <c r="H20" s="13"/>
      <c r="I20" s="13"/>
      <c r="J20" s="13"/>
      <c r="K20" s="13"/>
      <c r="L20" s="13"/>
      <c r="M20" s="13"/>
      <c r="N20" s="13"/>
      <c r="O20" s="13"/>
      <c r="P20" s="13"/>
      <c r="Q20" s="13"/>
      <c r="R20" s="13"/>
      <c r="S20" s="13"/>
      <c r="T20" s="13"/>
      <c r="U20" s="13"/>
      <c r="V20" s="13"/>
      <c r="W20" s="13"/>
      <c r="X20" s="13"/>
      <c r="Y20" s="13"/>
      <c r="Z20" s="13"/>
    </row>
    <row r="21">
      <c r="A21" s="25" t="s">
        <v>136</v>
      </c>
      <c r="B21" s="26"/>
      <c r="C21" s="27"/>
      <c r="D21" s="29" t="s">
        <v>137</v>
      </c>
      <c r="E21" s="29" t="s">
        <v>138</v>
      </c>
      <c r="F21" s="13"/>
      <c r="G21" s="12"/>
      <c r="H21" s="13"/>
      <c r="I21" s="13"/>
      <c r="J21" s="13"/>
      <c r="K21" s="13"/>
      <c r="L21" s="13"/>
      <c r="M21" s="13"/>
      <c r="N21" s="13"/>
      <c r="O21" s="13"/>
      <c r="P21" s="13"/>
      <c r="Q21" s="13"/>
      <c r="R21" s="13"/>
      <c r="S21" s="13"/>
      <c r="T21" s="13"/>
      <c r="U21" s="13"/>
      <c r="V21" s="13"/>
      <c r="W21" s="13"/>
      <c r="X21" s="13"/>
      <c r="Y21" s="13"/>
      <c r="Z21" s="13"/>
    </row>
    <row r="22">
      <c r="A22" s="31"/>
      <c r="C22" s="32"/>
      <c r="D22" s="6" t="s">
        <v>141</v>
      </c>
      <c r="E22" s="6" t="s">
        <v>143</v>
      </c>
      <c r="F22" s="13"/>
      <c r="G22" s="12"/>
      <c r="H22" s="13"/>
      <c r="I22" s="13"/>
      <c r="J22" s="13"/>
      <c r="K22" s="13"/>
      <c r="L22" s="13"/>
      <c r="M22" s="13"/>
      <c r="N22" s="13"/>
      <c r="O22" s="13"/>
      <c r="P22" s="13"/>
      <c r="Q22" s="13"/>
      <c r="R22" s="13"/>
      <c r="S22" s="13"/>
      <c r="T22" s="13"/>
      <c r="U22" s="13"/>
      <c r="V22" s="13"/>
      <c r="W22" s="13"/>
      <c r="X22" s="13"/>
      <c r="Y22" s="13"/>
      <c r="Z22" s="13"/>
    </row>
    <row r="23">
      <c r="A23" s="41"/>
      <c r="B23" s="42"/>
      <c r="C23" s="43"/>
      <c r="D23" s="6" t="s">
        <v>149</v>
      </c>
      <c r="E23" s="6" t="s">
        <v>151</v>
      </c>
      <c r="F23" s="13"/>
      <c r="G23" s="12"/>
      <c r="H23" s="13"/>
      <c r="I23" s="13"/>
      <c r="J23" s="13"/>
      <c r="K23" s="13"/>
      <c r="L23" s="13"/>
      <c r="M23" s="13"/>
      <c r="N23" s="13"/>
      <c r="O23" s="13"/>
      <c r="P23" s="13"/>
      <c r="Q23" s="13"/>
      <c r="R23" s="13"/>
      <c r="S23" s="13"/>
      <c r="T23" s="13"/>
      <c r="U23" s="13"/>
      <c r="V23" s="13"/>
      <c r="W23" s="13"/>
      <c r="X23" s="13"/>
      <c r="Y23" s="13"/>
      <c r="Z23" s="13"/>
    </row>
    <row r="24">
      <c r="A24" s="24"/>
      <c r="D24" s="3"/>
      <c r="E24" s="3"/>
      <c r="F24" s="13"/>
      <c r="G24" s="12"/>
      <c r="H24" s="13"/>
      <c r="I24" s="13"/>
      <c r="J24" s="13"/>
      <c r="K24" s="13"/>
      <c r="L24" s="13"/>
      <c r="M24" s="13"/>
      <c r="N24" s="13"/>
      <c r="O24" s="13"/>
      <c r="P24" s="13"/>
      <c r="Q24" s="13"/>
      <c r="R24" s="13"/>
      <c r="S24" s="13"/>
      <c r="T24" s="13"/>
      <c r="U24" s="13"/>
      <c r="V24" s="13"/>
      <c r="W24" s="13"/>
      <c r="X24" s="13"/>
      <c r="Y24" s="13"/>
      <c r="Z24" s="13"/>
    </row>
    <row r="25">
      <c r="A25" s="25" t="s">
        <v>159</v>
      </c>
      <c r="B25" s="26"/>
      <c r="C25" s="27"/>
      <c r="D25" s="29" t="s">
        <v>162</v>
      </c>
      <c r="E25" s="29" t="s">
        <v>163</v>
      </c>
      <c r="F25" s="29" t="s">
        <v>164</v>
      </c>
      <c r="G25" s="12"/>
      <c r="H25" s="13"/>
      <c r="I25" s="13"/>
      <c r="J25" s="13"/>
      <c r="K25" s="13"/>
      <c r="L25" s="13"/>
      <c r="M25" s="13"/>
      <c r="N25" s="13"/>
      <c r="O25" s="13"/>
      <c r="P25" s="13"/>
      <c r="Q25" s="13"/>
      <c r="R25" s="13"/>
      <c r="S25" s="13"/>
      <c r="T25" s="13"/>
      <c r="U25" s="13"/>
      <c r="V25" s="13"/>
      <c r="W25" s="13"/>
      <c r="X25" s="13"/>
      <c r="Y25" s="13"/>
      <c r="Z25" s="13"/>
    </row>
    <row r="26">
      <c r="A26" s="31"/>
      <c r="C26" s="32"/>
      <c r="D26" s="6" t="s">
        <v>170</v>
      </c>
      <c r="E26" s="6" t="s">
        <v>171</v>
      </c>
      <c r="F26" s="6" t="s">
        <v>172</v>
      </c>
      <c r="G26" s="12"/>
      <c r="H26" s="13"/>
      <c r="I26" s="13"/>
      <c r="J26" s="13"/>
      <c r="K26" s="13"/>
      <c r="L26" s="13"/>
      <c r="M26" s="13"/>
      <c r="N26" s="13"/>
      <c r="O26" s="13"/>
      <c r="P26" s="13"/>
      <c r="Q26" s="13"/>
      <c r="R26" s="13"/>
      <c r="S26" s="13"/>
      <c r="T26" s="13"/>
      <c r="U26" s="13"/>
      <c r="V26" s="13"/>
      <c r="W26" s="13"/>
      <c r="X26" s="13"/>
      <c r="Y26" s="13"/>
      <c r="Z26" s="13"/>
    </row>
    <row r="27">
      <c r="A27" s="31"/>
      <c r="C27" s="32"/>
      <c r="D27" s="6" t="s">
        <v>173</v>
      </c>
      <c r="E27" s="6" t="s">
        <v>174</v>
      </c>
      <c r="F27" s="6" t="s">
        <v>175</v>
      </c>
      <c r="G27" s="12"/>
      <c r="H27" s="13"/>
      <c r="I27" s="13"/>
      <c r="J27" s="13"/>
      <c r="K27" s="13"/>
      <c r="L27" s="13"/>
      <c r="M27" s="13"/>
      <c r="N27" s="13"/>
      <c r="O27" s="13"/>
      <c r="P27" s="13"/>
      <c r="Q27" s="13"/>
      <c r="R27" s="13"/>
      <c r="S27" s="13"/>
      <c r="T27" s="13"/>
      <c r="U27" s="13"/>
      <c r="V27" s="13"/>
      <c r="W27" s="13"/>
      <c r="X27" s="13"/>
      <c r="Y27" s="13"/>
      <c r="Z27" s="13"/>
    </row>
    <row r="28">
      <c r="A28" s="41"/>
      <c r="B28" s="42"/>
      <c r="C28" s="43"/>
      <c r="D28" s="6" t="s">
        <v>180</v>
      </c>
      <c r="E28" s="6" t="s">
        <v>182</v>
      </c>
      <c r="F28" s="6" t="s">
        <v>183</v>
      </c>
      <c r="G28" s="12"/>
      <c r="H28" s="13"/>
      <c r="I28" s="13"/>
      <c r="J28" s="13"/>
      <c r="K28" s="13"/>
      <c r="L28" s="13"/>
      <c r="M28" s="13"/>
      <c r="N28" s="13"/>
      <c r="O28" s="13"/>
      <c r="P28" s="13"/>
      <c r="Q28" s="13"/>
      <c r="R28" s="13"/>
      <c r="S28" s="13"/>
      <c r="T28" s="13"/>
      <c r="U28" s="13"/>
      <c r="V28" s="13"/>
      <c r="W28" s="13"/>
      <c r="X28" s="13"/>
      <c r="Y28" s="13"/>
      <c r="Z28" s="13"/>
    </row>
    <row r="29">
      <c r="A29" s="13"/>
      <c r="D29" s="13"/>
      <c r="E29" s="13"/>
      <c r="F29" s="13"/>
      <c r="G29" s="12"/>
      <c r="H29" s="13"/>
      <c r="I29" s="13"/>
      <c r="J29" s="13"/>
      <c r="K29" s="13"/>
      <c r="L29" s="13"/>
      <c r="M29" s="13"/>
      <c r="N29" s="13"/>
      <c r="O29" s="13"/>
      <c r="P29" s="13"/>
      <c r="Q29" s="13"/>
      <c r="R29" s="13"/>
      <c r="S29" s="13"/>
      <c r="T29" s="13"/>
      <c r="U29" s="13"/>
      <c r="V29" s="13"/>
      <c r="W29" s="13"/>
      <c r="X29" s="13"/>
      <c r="Y29" s="13"/>
      <c r="Z29" s="13"/>
    </row>
    <row r="30">
      <c r="A30" s="23" t="s">
        <v>191</v>
      </c>
      <c r="B30" s="16"/>
      <c r="C30" s="5"/>
      <c r="D30" s="59" t="s">
        <v>192</v>
      </c>
      <c r="E30" s="16"/>
      <c r="F30" s="5"/>
      <c r="G30" s="12"/>
      <c r="H30" s="13"/>
      <c r="I30" s="13"/>
      <c r="J30" s="13"/>
      <c r="K30" s="13"/>
      <c r="L30" s="13"/>
      <c r="M30" s="13"/>
      <c r="N30" s="13"/>
      <c r="O30" s="13"/>
      <c r="P30" s="13"/>
      <c r="Q30" s="13"/>
      <c r="R30" s="13"/>
      <c r="S30" s="13"/>
      <c r="T30" s="13"/>
      <c r="U30" s="13"/>
      <c r="V30" s="13"/>
      <c r="W30" s="13"/>
      <c r="X30" s="13"/>
      <c r="Y30" s="13"/>
      <c r="Z30" s="13"/>
    </row>
    <row r="31">
      <c r="A31" s="24"/>
      <c r="D31" s="13"/>
      <c r="E31" s="13"/>
      <c r="F31" s="13"/>
      <c r="G31" s="12"/>
      <c r="H31" s="13"/>
      <c r="I31" s="13"/>
      <c r="J31" s="13"/>
      <c r="K31" s="13"/>
      <c r="L31" s="13"/>
      <c r="M31" s="13"/>
      <c r="N31" s="13"/>
      <c r="O31" s="13"/>
      <c r="P31" s="13"/>
      <c r="Q31" s="13"/>
      <c r="R31" s="13"/>
      <c r="S31" s="13"/>
      <c r="T31" s="13"/>
      <c r="U31" s="13"/>
      <c r="V31" s="13"/>
      <c r="W31" s="13"/>
      <c r="X31" s="13"/>
      <c r="Y31" s="13"/>
      <c r="Z31" s="13"/>
    </row>
    <row r="32">
      <c r="A32" s="25" t="s">
        <v>203</v>
      </c>
      <c r="B32" s="26"/>
      <c r="C32" s="27"/>
      <c r="D32" s="29" t="s">
        <v>210</v>
      </c>
      <c r="E32" s="29" t="s">
        <v>211</v>
      </c>
      <c r="F32" s="13"/>
      <c r="G32" s="12"/>
      <c r="H32" s="13"/>
      <c r="I32" s="13"/>
      <c r="J32" s="13"/>
      <c r="K32" s="13"/>
      <c r="L32" s="13"/>
      <c r="M32" s="13"/>
      <c r="N32" s="13"/>
      <c r="O32" s="13"/>
      <c r="P32" s="13"/>
      <c r="Q32" s="13"/>
      <c r="R32" s="13"/>
      <c r="S32" s="13"/>
      <c r="T32" s="13"/>
      <c r="U32" s="13"/>
      <c r="V32" s="13"/>
      <c r="W32" s="13"/>
      <c r="X32" s="13"/>
      <c r="Y32" s="13"/>
      <c r="Z32" s="13"/>
    </row>
    <row r="33">
      <c r="A33" s="31"/>
      <c r="C33" s="32"/>
      <c r="D33" s="60">
        <v>45717.0</v>
      </c>
      <c r="E33" s="6" t="s">
        <v>217</v>
      </c>
      <c r="F33" s="13"/>
      <c r="G33" s="12"/>
      <c r="H33" s="13"/>
      <c r="I33" s="13"/>
      <c r="J33" s="13"/>
      <c r="K33" s="13"/>
      <c r="L33" s="13"/>
      <c r="M33" s="13"/>
      <c r="N33" s="13"/>
      <c r="O33" s="13"/>
      <c r="P33" s="13"/>
      <c r="Q33" s="13"/>
      <c r="R33" s="13"/>
      <c r="S33" s="13"/>
      <c r="T33" s="13"/>
      <c r="U33" s="13"/>
      <c r="V33" s="13"/>
      <c r="W33" s="13"/>
      <c r="X33" s="13"/>
      <c r="Y33" s="13"/>
      <c r="Z33" s="13"/>
    </row>
    <row r="34">
      <c r="A34" s="31"/>
      <c r="C34" s="32"/>
      <c r="D34" s="60">
        <v>46082.0</v>
      </c>
      <c r="E34" s="6" t="s">
        <v>218</v>
      </c>
      <c r="F34" s="13"/>
      <c r="G34" s="12"/>
      <c r="H34" s="13"/>
      <c r="I34" s="13"/>
      <c r="J34" s="13"/>
      <c r="K34" s="13"/>
      <c r="L34" s="13"/>
      <c r="M34" s="13"/>
      <c r="N34" s="13"/>
      <c r="O34" s="13"/>
      <c r="P34" s="13"/>
      <c r="Q34" s="13"/>
      <c r="R34" s="13"/>
      <c r="S34" s="13"/>
      <c r="T34" s="13"/>
      <c r="U34" s="13"/>
      <c r="V34" s="13"/>
      <c r="W34" s="13"/>
      <c r="X34" s="13"/>
      <c r="Y34" s="13"/>
      <c r="Z34" s="13"/>
    </row>
    <row r="35">
      <c r="A35" s="41"/>
      <c r="B35" s="42"/>
      <c r="C35" s="43"/>
      <c r="D35" s="60">
        <v>46174.0</v>
      </c>
      <c r="E35" s="6" t="s">
        <v>223</v>
      </c>
      <c r="F35" s="13"/>
      <c r="G35" s="12"/>
      <c r="H35" s="13"/>
      <c r="I35" s="13"/>
      <c r="J35" s="13"/>
      <c r="K35" s="13"/>
      <c r="L35" s="13"/>
      <c r="M35" s="13"/>
      <c r="N35" s="13"/>
      <c r="O35" s="13"/>
      <c r="P35" s="13"/>
      <c r="Q35" s="13"/>
      <c r="R35" s="13"/>
      <c r="S35" s="13"/>
      <c r="T35" s="13"/>
      <c r="U35" s="13"/>
      <c r="V35" s="13"/>
      <c r="W35" s="13"/>
      <c r="X35" s="13"/>
      <c r="Y35" s="13"/>
      <c r="Z35" s="13"/>
    </row>
    <row r="36">
      <c r="A36" s="13"/>
      <c r="B36" s="13"/>
      <c r="C36" s="13"/>
      <c r="D36" s="21" t="s">
        <v>230</v>
      </c>
      <c r="F36" s="13"/>
      <c r="G36" s="12"/>
      <c r="H36" s="13"/>
      <c r="I36" s="13"/>
      <c r="J36" s="13"/>
      <c r="K36" s="13"/>
      <c r="L36" s="13"/>
      <c r="M36" s="13"/>
      <c r="N36" s="13"/>
      <c r="O36" s="13"/>
      <c r="P36" s="13"/>
      <c r="Q36" s="13"/>
      <c r="R36" s="13"/>
      <c r="S36" s="13"/>
      <c r="T36" s="13"/>
      <c r="U36" s="13"/>
      <c r="V36" s="13"/>
      <c r="W36" s="13"/>
      <c r="X36" s="13"/>
      <c r="Y36" s="13"/>
      <c r="Z36" s="13"/>
    </row>
    <row r="37">
      <c r="G37" s="12"/>
      <c r="H37" s="13"/>
      <c r="I37" s="13"/>
      <c r="J37" s="13"/>
      <c r="K37" s="13"/>
      <c r="L37" s="13"/>
      <c r="M37" s="13"/>
      <c r="N37" s="13"/>
      <c r="O37" s="13"/>
      <c r="P37" s="13"/>
      <c r="Q37" s="13"/>
      <c r="R37" s="13"/>
      <c r="S37" s="13"/>
      <c r="T37" s="13"/>
      <c r="U37" s="13"/>
      <c r="V37" s="13"/>
      <c r="W37" s="13"/>
      <c r="X37" s="13"/>
      <c r="Y37" s="13"/>
      <c r="Z37" s="13"/>
    </row>
    <row r="38">
      <c r="A38" s="61" t="s">
        <v>240</v>
      </c>
      <c r="B38" s="13"/>
      <c r="C38" s="13"/>
      <c r="D38" s="13"/>
      <c r="E38" s="13"/>
      <c r="F38" s="13"/>
      <c r="G38" s="12"/>
      <c r="H38" s="13"/>
      <c r="I38" s="13"/>
      <c r="J38" s="13"/>
      <c r="K38" s="13"/>
      <c r="L38" s="13"/>
      <c r="M38" s="13"/>
      <c r="N38" s="13"/>
      <c r="O38" s="13"/>
      <c r="P38" s="13"/>
      <c r="Q38" s="13"/>
      <c r="R38" s="13"/>
      <c r="S38" s="13"/>
      <c r="T38" s="13"/>
      <c r="U38" s="13"/>
      <c r="V38" s="13"/>
      <c r="W38" s="13"/>
      <c r="X38" s="13"/>
      <c r="Y38" s="13"/>
      <c r="Z38" s="13"/>
    </row>
    <row r="39">
      <c r="A39" s="62"/>
      <c r="B39" s="29" t="s">
        <v>244</v>
      </c>
      <c r="C39" s="29" t="s">
        <v>154</v>
      </c>
      <c r="D39" s="29" t="s">
        <v>245</v>
      </c>
      <c r="E39" s="29" t="s">
        <v>246</v>
      </c>
      <c r="F39" s="64" t="s">
        <v>248</v>
      </c>
      <c r="G39" s="29" t="s">
        <v>252</v>
      </c>
      <c r="H39" s="65" t="s">
        <v>253</v>
      </c>
      <c r="I39" s="13"/>
      <c r="J39" s="13"/>
      <c r="K39" s="13"/>
      <c r="L39" s="13"/>
      <c r="M39" s="13"/>
      <c r="N39" s="13"/>
      <c r="O39" s="13"/>
      <c r="P39" s="13"/>
      <c r="Q39" s="13"/>
      <c r="R39" s="13"/>
      <c r="S39" s="13"/>
      <c r="T39" s="13"/>
      <c r="U39" s="13"/>
      <c r="V39" s="13"/>
      <c r="W39" s="13"/>
      <c r="X39" s="13"/>
      <c r="Y39" s="13"/>
      <c r="Z39" s="13"/>
    </row>
    <row r="40">
      <c r="A40" s="29" t="s">
        <v>244</v>
      </c>
      <c r="B40" s="6" t="s">
        <v>170</v>
      </c>
      <c r="C40" s="6" t="s">
        <v>258</v>
      </c>
      <c r="D40" s="6" t="s">
        <v>259</v>
      </c>
      <c r="E40" s="6" t="s">
        <v>260</v>
      </c>
      <c r="F40" s="66" t="s">
        <v>261</v>
      </c>
      <c r="G40" s="6" t="s">
        <v>265</v>
      </c>
      <c r="H40" s="68" t="s">
        <v>268</v>
      </c>
      <c r="I40" s="13"/>
      <c r="J40" s="13"/>
      <c r="K40" s="13"/>
      <c r="L40" s="13"/>
      <c r="M40" s="13"/>
      <c r="N40" s="13"/>
      <c r="O40" s="13"/>
      <c r="P40" s="13"/>
      <c r="Q40" s="13"/>
      <c r="R40" s="13"/>
      <c r="S40" s="13"/>
      <c r="T40" s="13"/>
      <c r="U40" s="13"/>
      <c r="V40" s="13"/>
      <c r="W40" s="13"/>
      <c r="X40" s="13"/>
      <c r="Y40" s="13"/>
      <c r="Z40" s="13"/>
    </row>
    <row r="41">
      <c r="A41" s="29" t="s">
        <v>290</v>
      </c>
      <c r="B41" s="6" t="s">
        <v>173</v>
      </c>
      <c r="C41" s="6" t="s">
        <v>291</v>
      </c>
      <c r="D41" s="6" t="s">
        <v>292</v>
      </c>
      <c r="E41" s="6" t="s">
        <v>293</v>
      </c>
      <c r="F41" s="66" t="s">
        <v>294</v>
      </c>
      <c r="G41" s="6" t="s">
        <v>295</v>
      </c>
      <c r="H41" s="73" t="s">
        <v>296</v>
      </c>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2"/>
      <c r="H42" s="13"/>
      <c r="I42" s="13"/>
      <c r="J42" s="13"/>
      <c r="K42" s="13"/>
      <c r="L42" s="13"/>
      <c r="M42" s="13"/>
      <c r="N42" s="13"/>
      <c r="O42" s="13"/>
      <c r="P42" s="13"/>
      <c r="Q42" s="13"/>
      <c r="R42" s="13"/>
      <c r="S42" s="13"/>
      <c r="T42" s="13"/>
      <c r="U42" s="13"/>
      <c r="V42" s="13"/>
      <c r="W42" s="13"/>
      <c r="X42" s="13"/>
      <c r="Y42" s="13"/>
      <c r="Z42" s="13"/>
    </row>
    <row r="43">
      <c r="A43" s="75" t="s">
        <v>308</v>
      </c>
      <c r="F43" s="13"/>
      <c r="G43" s="12"/>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2"/>
      <c r="H44" s="13"/>
      <c r="I44" s="13"/>
      <c r="J44" s="13"/>
      <c r="K44" s="13"/>
      <c r="L44" s="13"/>
      <c r="M44" s="13"/>
      <c r="N44" s="13"/>
      <c r="O44" s="13"/>
      <c r="P44" s="13"/>
      <c r="Q44" s="13"/>
      <c r="R44" s="13"/>
      <c r="S44" s="13"/>
      <c r="T44" s="13"/>
      <c r="U44" s="13"/>
      <c r="V44" s="13"/>
      <c r="W44" s="13"/>
      <c r="X44" s="13"/>
      <c r="Y44" s="13"/>
      <c r="Z44" s="13"/>
    </row>
    <row r="45">
      <c r="A45" s="77" t="s">
        <v>317</v>
      </c>
      <c r="B45" s="13"/>
      <c r="C45" s="13"/>
      <c r="D45" s="13"/>
      <c r="E45" s="13"/>
      <c r="F45" s="13"/>
      <c r="G45" s="12"/>
      <c r="H45" s="13"/>
      <c r="I45" s="13"/>
      <c r="J45" s="13"/>
      <c r="K45" s="13"/>
      <c r="L45" s="13"/>
      <c r="M45" s="13"/>
      <c r="N45" s="13"/>
      <c r="O45" s="13"/>
      <c r="P45" s="13"/>
      <c r="Q45" s="13"/>
      <c r="R45" s="13"/>
      <c r="S45" s="13"/>
      <c r="T45" s="13"/>
      <c r="U45" s="13"/>
      <c r="V45" s="13"/>
      <c r="W45" s="13"/>
      <c r="X45" s="13"/>
      <c r="Y45" s="13"/>
      <c r="Z45" s="13"/>
    </row>
    <row r="46">
      <c r="A46" s="29" t="s">
        <v>325</v>
      </c>
      <c r="B46" s="29" t="s">
        <v>327</v>
      </c>
      <c r="C46" s="29" t="s">
        <v>329</v>
      </c>
      <c r="D46" s="29" t="s">
        <v>330</v>
      </c>
      <c r="E46" s="29" t="s">
        <v>331</v>
      </c>
      <c r="F46" s="29" t="s">
        <v>332</v>
      </c>
      <c r="G46" s="29" t="s">
        <v>334</v>
      </c>
      <c r="H46" s="78" t="s">
        <v>337</v>
      </c>
      <c r="J46" s="13"/>
      <c r="K46" s="13"/>
      <c r="L46" s="13"/>
      <c r="M46" s="13"/>
      <c r="N46" s="13"/>
      <c r="O46" s="13"/>
      <c r="P46" s="13"/>
      <c r="Q46" s="13"/>
      <c r="R46" s="13"/>
      <c r="S46" s="13"/>
      <c r="T46" s="13"/>
      <c r="U46" s="13"/>
      <c r="V46" s="13"/>
      <c r="W46" s="13"/>
      <c r="X46" s="13"/>
      <c r="Y46" s="13"/>
      <c r="Z46" s="13"/>
    </row>
    <row r="47">
      <c r="A47" s="6" t="s">
        <v>343</v>
      </c>
      <c r="B47" s="6">
        <v>640.96</v>
      </c>
      <c r="C47" s="79">
        <v>848.21</v>
      </c>
      <c r="D47" s="79">
        <v>960.45</v>
      </c>
      <c r="E47" s="79">
        <v>473.06</v>
      </c>
      <c r="F47" s="79">
        <v>618.63</v>
      </c>
      <c r="G47" s="79">
        <v>704.71</v>
      </c>
      <c r="H47" s="80"/>
      <c r="J47" s="13"/>
      <c r="K47" s="13"/>
      <c r="L47" s="13"/>
      <c r="M47" s="13"/>
      <c r="N47" s="13"/>
      <c r="O47" s="13"/>
      <c r="P47" s="13"/>
      <c r="Q47" s="13"/>
      <c r="R47" s="13"/>
      <c r="S47" s="13"/>
      <c r="T47" s="13"/>
      <c r="U47" s="13"/>
      <c r="V47" s="13"/>
      <c r="W47" s="13"/>
      <c r="X47" s="13"/>
      <c r="Y47" s="13"/>
      <c r="Z47" s="13"/>
    </row>
    <row r="48">
      <c r="A48" s="6" t="s">
        <v>344</v>
      </c>
      <c r="B48" s="6" t="s">
        <v>345</v>
      </c>
      <c r="C48" s="81">
        <v>0.3233</v>
      </c>
      <c r="D48" s="81">
        <v>0.1323</v>
      </c>
      <c r="E48" s="6" t="s">
        <v>345</v>
      </c>
      <c r="F48" s="81">
        <v>0.3077</v>
      </c>
      <c r="G48" s="81">
        <v>0.139</v>
      </c>
      <c r="H48" s="80"/>
      <c r="J48" s="13"/>
      <c r="K48" s="13"/>
      <c r="L48" s="13"/>
      <c r="M48" s="13"/>
      <c r="N48" s="13"/>
      <c r="O48" s="13"/>
      <c r="P48" s="13"/>
      <c r="Q48" s="13"/>
      <c r="R48" s="13"/>
      <c r="S48" s="13"/>
      <c r="T48" s="13"/>
      <c r="U48" s="13"/>
      <c r="V48" s="13"/>
      <c r="W48" s="13"/>
      <c r="X48" s="13"/>
      <c r="Y48" s="13"/>
      <c r="Z48" s="13"/>
    </row>
    <row r="49">
      <c r="A49" s="6" t="s">
        <v>347</v>
      </c>
      <c r="B49" s="6">
        <v>494.03</v>
      </c>
      <c r="C49" s="6">
        <v>634.14</v>
      </c>
      <c r="D49" s="6">
        <v>657.86</v>
      </c>
      <c r="E49" s="6">
        <v>339.97</v>
      </c>
      <c r="F49" s="6">
        <v>450.49</v>
      </c>
      <c r="G49" s="6">
        <v>507.96</v>
      </c>
      <c r="H49" s="83" t="s">
        <v>348</v>
      </c>
      <c r="J49" s="13"/>
      <c r="K49" s="13"/>
      <c r="L49" s="13"/>
      <c r="M49" s="13"/>
      <c r="N49" s="13"/>
      <c r="O49" s="13"/>
      <c r="P49" s="13"/>
      <c r="Q49" s="13"/>
      <c r="R49" s="13"/>
      <c r="S49" s="13"/>
      <c r="T49" s="13"/>
      <c r="U49" s="13"/>
      <c r="V49" s="13"/>
      <c r="W49" s="13"/>
      <c r="X49" s="13"/>
      <c r="Y49" s="13"/>
      <c r="Z49" s="13"/>
    </row>
    <row r="50">
      <c r="A50" s="6" t="s">
        <v>350</v>
      </c>
      <c r="B50" s="81">
        <v>0.5668</v>
      </c>
      <c r="C50" s="81">
        <v>0.5448</v>
      </c>
      <c r="D50" s="81">
        <v>0.4875</v>
      </c>
      <c r="E50" s="81">
        <v>0.5455</v>
      </c>
      <c r="F50" s="81">
        <v>0.5199</v>
      </c>
      <c r="G50" s="81">
        <v>0.5117</v>
      </c>
      <c r="H50" s="83" t="s">
        <v>351</v>
      </c>
      <c r="J50" s="13"/>
      <c r="K50" s="13"/>
      <c r="L50" s="13"/>
      <c r="M50" s="13"/>
      <c r="N50" s="13"/>
      <c r="O50" s="13"/>
      <c r="P50" s="13"/>
      <c r="Q50" s="13"/>
      <c r="R50" s="13"/>
      <c r="S50" s="13"/>
      <c r="T50" s="13"/>
      <c r="U50" s="13"/>
      <c r="V50" s="13"/>
      <c r="W50" s="13"/>
      <c r="X50" s="13"/>
      <c r="Y50" s="13"/>
      <c r="Z50" s="13"/>
    </row>
    <row r="51">
      <c r="A51" s="6" t="s">
        <v>353</v>
      </c>
      <c r="B51" s="81">
        <v>0.3407</v>
      </c>
      <c r="C51" s="81">
        <v>0.3611</v>
      </c>
      <c r="D51" s="81">
        <v>0.3133</v>
      </c>
      <c r="E51" s="81">
        <v>0.1856</v>
      </c>
      <c r="F51" s="81">
        <v>0.1963</v>
      </c>
      <c r="G51" s="81">
        <v>0.187</v>
      </c>
      <c r="H51" s="83" t="s">
        <v>355</v>
      </c>
      <c r="J51" s="13"/>
      <c r="K51" s="13"/>
      <c r="L51" s="13"/>
      <c r="M51" s="13"/>
      <c r="N51" s="13"/>
      <c r="O51" s="13"/>
      <c r="P51" s="13"/>
      <c r="Q51" s="13"/>
      <c r="R51" s="13"/>
      <c r="S51" s="13"/>
      <c r="T51" s="13"/>
      <c r="U51" s="13"/>
      <c r="V51" s="13"/>
      <c r="W51" s="13"/>
      <c r="X51" s="13"/>
      <c r="Y51" s="13"/>
      <c r="Z51" s="13"/>
    </row>
    <row r="52">
      <c r="A52" s="6" t="s">
        <v>356</v>
      </c>
      <c r="B52" s="81">
        <v>0.4016</v>
      </c>
      <c r="C52" s="81">
        <v>0.418</v>
      </c>
      <c r="D52" s="81">
        <v>0.3693</v>
      </c>
      <c r="E52" s="81">
        <v>0.2347</v>
      </c>
      <c r="F52" s="81">
        <v>0.2537</v>
      </c>
      <c r="G52" s="81">
        <v>0.2415</v>
      </c>
      <c r="H52" s="83" t="s">
        <v>357</v>
      </c>
      <c r="J52" s="13"/>
      <c r="K52" s="13"/>
      <c r="L52" s="13"/>
      <c r="M52" s="13"/>
      <c r="N52" s="13"/>
      <c r="O52" s="13"/>
      <c r="P52" s="13"/>
      <c r="Q52" s="13"/>
      <c r="R52" s="13"/>
      <c r="S52" s="13"/>
      <c r="T52" s="13"/>
      <c r="U52" s="13"/>
      <c r="V52" s="13"/>
      <c r="W52" s="13"/>
      <c r="X52" s="13"/>
      <c r="Y52" s="13"/>
      <c r="Z52" s="13"/>
    </row>
    <row r="53">
      <c r="A53" s="6" t="s">
        <v>360</v>
      </c>
      <c r="B53" s="6" t="s">
        <v>361</v>
      </c>
      <c r="C53" s="6" t="s">
        <v>362</v>
      </c>
      <c r="D53" s="6" t="s">
        <v>363</v>
      </c>
      <c r="E53" s="6" t="s">
        <v>364</v>
      </c>
      <c r="F53" s="6" t="s">
        <v>364</v>
      </c>
      <c r="G53" s="6" t="s">
        <v>364</v>
      </c>
      <c r="H53" s="83" t="s">
        <v>365</v>
      </c>
      <c r="I53" s="13"/>
      <c r="J53" s="13"/>
      <c r="K53" s="13"/>
      <c r="L53" s="13"/>
      <c r="M53" s="13"/>
      <c r="N53" s="13"/>
      <c r="O53" s="13"/>
      <c r="P53" s="13"/>
      <c r="Q53" s="13"/>
      <c r="R53" s="13"/>
      <c r="S53" s="13"/>
      <c r="T53" s="13"/>
      <c r="U53" s="13"/>
      <c r="V53" s="13"/>
      <c r="W53" s="13"/>
      <c r="X53" s="13"/>
      <c r="Y53" s="13"/>
      <c r="Z53" s="13"/>
    </row>
    <row r="54">
      <c r="A54" s="6" t="s">
        <v>367</v>
      </c>
      <c r="B54" s="6">
        <v>334.3</v>
      </c>
      <c r="C54" s="6">
        <v>442.78</v>
      </c>
      <c r="D54" s="6">
        <v>430.73</v>
      </c>
      <c r="E54" s="6">
        <v>170.13</v>
      </c>
      <c r="F54" s="6">
        <v>359.82</v>
      </c>
      <c r="G54" s="6">
        <v>319.35</v>
      </c>
      <c r="H54" s="80"/>
      <c r="I54" s="13"/>
      <c r="J54" s="13"/>
      <c r="K54" s="13"/>
      <c r="L54" s="13"/>
      <c r="M54" s="13"/>
      <c r="N54" s="13"/>
      <c r="O54" s="13"/>
      <c r="P54" s="13"/>
      <c r="Q54" s="13"/>
      <c r="R54" s="13"/>
      <c r="S54" s="13"/>
      <c r="T54" s="13"/>
      <c r="U54" s="13"/>
      <c r="V54" s="13"/>
      <c r="W54" s="13"/>
      <c r="X54" s="13"/>
      <c r="Y54" s="13"/>
      <c r="Z54" s="13"/>
    </row>
    <row r="55">
      <c r="F55" s="12"/>
      <c r="G55" s="12"/>
      <c r="H55" s="13"/>
      <c r="I55" s="13"/>
      <c r="J55" s="13"/>
      <c r="K55" s="13"/>
      <c r="L55" s="13"/>
      <c r="M55" s="13"/>
      <c r="N55" s="13"/>
      <c r="O55" s="13"/>
      <c r="P55" s="13"/>
      <c r="Q55" s="13"/>
      <c r="R55" s="13"/>
      <c r="S55" s="13"/>
      <c r="T55" s="13"/>
      <c r="U55" s="13"/>
      <c r="V55" s="13"/>
      <c r="W55" s="13"/>
      <c r="X55" s="13"/>
      <c r="Y55" s="13"/>
      <c r="Z55" s="13"/>
    </row>
    <row r="56">
      <c r="A56" s="89" t="s">
        <v>370</v>
      </c>
      <c r="H56" s="13"/>
      <c r="I56" s="13"/>
      <c r="J56" s="13"/>
      <c r="K56" s="13"/>
      <c r="L56" s="13"/>
      <c r="M56" s="13"/>
      <c r="N56" s="13"/>
      <c r="O56" s="13"/>
      <c r="P56" s="13"/>
      <c r="Q56" s="13"/>
      <c r="R56" s="13"/>
      <c r="S56" s="13"/>
      <c r="T56" s="13"/>
      <c r="U56" s="13"/>
      <c r="V56" s="13"/>
      <c r="W56" s="13"/>
      <c r="X56" s="13"/>
      <c r="Y56" s="13"/>
      <c r="Z56" s="13"/>
    </row>
    <row r="57">
      <c r="H57" s="13"/>
      <c r="I57" s="13"/>
      <c r="J57" s="13"/>
      <c r="K57" s="13"/>
      <c r="L57" s="13"/>
      <c r="M57" s="13"/>
      <c r="N57" s="13"/>
      <c r="O57" s="13"/>
      <c r="P57" s="13"/>
      <c r="Q57" s="13"/>
      <c r="R57" s="13"/>
      <c r="S57" s="13"/>
      <c r="T57" s="13"/>
      <c r="U57" s="13"/>
      <c r="V57" s="13"/>
      <c r="W57" s="13"/>
      <c r="X57" s="13"/>
      <c r="Y57" s="13"/>
      <c r="Z57" s="13"/>
    </row>
    <row r="58">
      <c r="A58" s="29" t="s">
        <v>371</v>
      </c>
      <c r="B58" s="29" t="s">
        <v>170</v>
      </c>
      <c r="C58" s="29" t="s">
        <v>173</v>
      </c>
      <c r="D58" s="92" t="s">
        <v>372</v>
      </c>
      <c r="H58" s="13"/>
      <c r="I58" s="13"/>
      <c r="J58" s="13"/>
      <c r="K58" s="13"/>
      <c r="L58" s="13"/>
      <c r="M58" s="13"/>
      <c r="N58" s="13"/>
      <c r="O58" s="13"/>
      <c r="P58" s="13"/>
      <c r="Q58" s="13"/>
      <c r="R58" s="13"/>
      <c r="S58" s="13"/>
      <c r="T58" s="13"/>
      <c r="U58" s="13"/>
      <c r="V58" s="13"/>
      <c r="W58" s="13"/>
      <c r="X58" s="13"/>
      <c r="Y58" s="13"/>
      <c r="Z58" s="13"/>
    </row>
    <row r="59">
      <c r="A59" s="6" t="s">
        <v>373</v>
      </c>
      <c r="B59" s="66" t="s">
        <v>374</v>
      </c>
      <c r="C59" s="66" t="s">
        <v>376</v>
      </c>
      <c r="D59" s="93" t="s">
        <v>170</v>
      </c>
      <c r="E59" s="12"/>
      <c r="F59" s="12"/>
      <c r="G59" s="12"/>
      <c r="H59" s="13"/>
      <c r="I59" s="13"/>
      <c r="J59" s="13"/>
      <c r="K59" s="13"/>
      <c r="L59" s="13"/>
      <c r="M59" s="13"/>
      <c r="N59" s="13"/>
      <c r="O59" s="13"/>
      <c r="P59" s="13"/>
      <c r="Q59" s="13"/>
      <c r="R59" s="13"/>
      <c r="S59" s="13"/>
      <c r="T59" s="13"/>
      <c r="U59" s="13"/>
      <c r="V59" s="13"/>
      <c r="W59" s="13"/>
      <c r="X59" s="13"/>
      <c r="Y59" s="13"/>
      <c r="Z59" s="13"/>
    </row>
    <row r="60">
      <c r="A60" s="6" t="s">
        <v>377</v>
      </c>
      <c r="B60" s="66" t="s">
        <v>378</v>
      </c>
      <c r="C60" s="66" t="s">
        <v>379</v>
      </c>
      <c r="D60" s="93" t="s">
        <v>170</v>
      </c>
      <c r="E60" s="12"/>
      <c r="F60" s="12"/>
      <c r="G60" s="12"/>
      <c r="H60" s="13"/>
      <c r="I60" s="13"/>
      <c r="J60" s="13"/>
      <c r="K60" s="13"/>
      <c r="L60" s="13"/>
      <c r="M60" s="13"/>
      <c r="N60" s="13"/>
      <c r="O60" s="13"/>
      <c r="P60" s="13"/>
      <c r="Q60" s="13"/>
      <c r="R60" s="13"/>
      <c r="S60" s="13"/>
      <c r="T60" s="13"/>
      <c r="U60" s="13"/>
      <c r="V60" s="13"/>
      <c r="W60" s="13"/>
      <c r="X60" s="13"/>
      <c r="Y60" s="13"/>
      <c r="Z60" s="13"/>
    </row>
    <row r="61">
      <c r="A61" s="6" t="s">
        <v>380</v>
      </c>
      <c r="B61" s="66" t="s">
        <v>381</v>
      </c>
      <c r="C61" s="66" t="s">
        <v>382</v>
      </c>
      <c r="D61" s="6" t="s">
        <v>173</v>
      </c>
      <c r="E61" s="12"/>
      <c r="F61" s="12"/>
      <c r="G61" s="12"/>
      <c r="H61" s="13"/>
      <c r="I61" s="13"/>
      <c r="J61" s="13"/>
      <c r="K61" s="13"/>
      <c r="L61" s="13"/>
      <c r="M61" s="13"/>
      <c r="N61" s="13"/>
      <c r="O61" s="13"/>
      <c r="P61" s="13"/>
      <c r="Q61" s="13"/>
      <c r="R61" s="13"/>
      <c r="S61" s="13"/>
      <c r="T61" s="13"/>
      <c r="U61" s="13"/>
      <c r="V61" s="13"/>
      <c r="W61" s="13"/>
      <c r="X61" s="13"/>
      <c r="Y61" s="13"/>
      <c r="Z61" s="13"/>
    </row>
    <row r="62">
      <c r="A62" s="6" t="s">
        <v>383</v>
      </c>
      <c r="B62" s="66" t="s">
        <v>385</v>
      </c>
      <c r="C62" s="66" t="s">
        <v>386</v>
      </c>
      <c r="D62" s="6" t="s">
        <v>173</v>
      </c>
      <c r="F62" s="12"/>
      <c r="G62" s="12"/>
      <c r="H62" s="13"/>
      <c r="I62" s="13"/>
      <c r="J62" s="13"/>
      <c r="K62" s="13"/>
      <c r="L62" s="13"/>
      <c r="M62" s="13"/>
      <c r="N62" s="13"/>
      <c r="O62" s="13"/>
      <c r="P62" s="13"/>
      <c r="Q62" s="13"/>
      <c r="R62" s="13"/>
      <c r="S62" s="13"/>
      <c r="T62" s="13"/>
      <c r="U62" s="13"/>
      <c r="V62" s="13"/>
      <c r="W62" s="13"/>
      <c r="X62" s="13"/>
      <c r="Y62" s="13"/>
      <c r="Z62" s="13"/>
    </row>
    <row r="63">
      <c r="A63" s="6" t="s">
        <v>387</v>
      </c>
      <c r="B63" s="66" t="s">
        <v>388</v>
      </c>
      <c r="C63" s="66" t="s">
        <v>389</v>
      </c>
      <c r="D63" s="6" t="s">
        <v>173</v>
      </c>
      <c r="E63" s="12"/>
      <c r="F63" s="12"/>
      <c r="G63" s="12"/>
      <c r="H63" s="13"/>
      <c r="I63" s="13"/>
      <c r="J63" s="13"/>
      <c r="K63" s="13"/>
      <c r="L63" s="13"/>
      <c r="M63" s="13"/>
      <c r="N63" s="13"/>
      <c r="O63" s="13"/>
      <c r="P63" s="13"/>
      <c r="Q63" s="13"/>
      <c r="R63" s="13"/>
      <c r="S63" s="13"/>
      <c r="T63" s="13"/>
      <c r="U63" s="13"/>
      <c r="V63" s="13"/>
      <c r="W63" s="13"/>
      <c r="X63" s="13"/>
      <c r="Y63" s="13"/>
      <c r="Z63" s="13"/>
    </row>
    <row r="64">
      <c r="A64" s="6" t="s">
        <v>390</v>
      </c>
      <c r="B64" s="66" t="s">
        <v>391</v>
      </c>
      <c r="C64" s="66" t="s">
        <v>392</v>
      </c>
      <c r="D64" s="6" t="s">
        <v>393</v>
      </c>
      <c r="E64" s="12"/>
      <c r="F64" s="12"/>
      <c r="G64" s="12"/>
      <c r="H64" s="13"/>
      <c r="I64" s="13"/>
      <c r="J64" s="13"/>
      <c r="K64" s="13"/>
      <c r="L64" s="13"/>
      <c r="M64" s="13"/>
      <c r="N64" s="13"/>
      <c r="O64" s="13"/>
      <c r="P64" s="13"/>
      <c r="Q64" s="13"/>
      <c r="R64" s="13"/>
      <c r="S64" s="13"/>
      <c r="T64" s="13"/>
      <c r="U64" s="13"/>
      <c r="V64" s="13"/>
      <c r="W64" s="13"/>
      <c r="X64" s="13"/>
      <c r="Y64" s="13"/>
      <c r="Z64" s="13"/>
    </row>
    <row r="65">
      <c r="A65" s="6" t="s">
        <v>395</v>
      </c>
      <c r="B65" s="66" t="s">
        <v>396</v>
      </c>
      <c r="C65" s="66" t="s">
        <v>397</v>
      </c>
      <c r="D65" s="6" t="s">
        <v>398</v>
      </c>
      <c r="E65" s="12"/>
      <c r="F65" s="12"/>
      <c r="G65" s="12"/>
      <c r="H65" s="13"/>
      <c r="I65" s="13"/>
      <c r="J65" s="13"/>
      <c r="K65" s="13"/>
      <c r="L65" s="13"/>
      <c r="M65" s="13"/>
      <c r="N65" s="13"/>
      <c r="O65" s="13"/>
      <c r="P65" s="13"/>
      <c r="Q65" s="13"/>
      <c r="R65" s="13"/>
      <c r="S65" s="13"/>
      <c r="T65" s="13"/>
      <c r="U65" s="13"/>
      <c r="V65" s="13"/>
      <c r="W65" s="13"/>
      <c r="X65" s="13"/>
      <c r="Y65" s="13"/>
      <c r="Z65" s="13"/>
    </row>
    <row r="66">
      <c r="A66" s="6" t="s">
        <v>400</v>
      </c>
      <c r="B66" s="66" t="s">
        <v>401</v>
      </c>
      <c r="C66" s="66" t="s">
        <v>401</v>
      </c>
      <c r="D66" s="6" t="s">
        <v>398</v>
      </c>
      <c r="E66" s="12"/>
      <c r="F66" s="12"/>
      <c r="G66" s="12"/>
      <c r="H66" s="13"/>
      <c r="I66" s="13"/>
      <c r="J66" s="13"/>
      <c r="K66" s="13"/>
      <c r="L66" s="13"/>
      <c r="M66" s="13"/>
      <c r="N66" s="13"/>
      <c r="O66" s="13"/>
      <c r="P66" s="13"/>
      <c r="Q66" s="13"/>
      <c r="R66" s="13"/>
      <c r="S66" s="13"/>
      <c r="T66" s="13"/>
      <c r="U66" s="13"/>
      <c r="V66" s="13"/>
      <c r="W66" s="13"/>
      <c r="X66" s="13"/>
      <c r="Y66" s="13"/>
      <c r="Z66" s="13"/>
    </row>
    <row r="67">
      <c r="H67" s="13"/>
      <c r="I67" s="13"/>
      <c r="J67" s="13"/>
      <c r="K67" s="13"/>
      <c r="L67" s="13"/>
      <c r="M67" s="13"/>
      <c r="N67" s="13"/>
      <c r="O67" s="13"/>
      <c r="P67" s="13"/>
      <c r="Q67" s="13"/>
      <c r="R67" s="13"/>
      <c r="S67" s="13"/>
      <c r="T67" s="13"/>
      <c r="U67" s="13"/>
      <c r="V67" s="13"/>
      <c r="W67" s="13"/>
      <c r="X67" s="13"/>
      <c r="Y67" s="13"/>
      <c r="Z67" s="13"/>
    </row>
    <row r="68">
      <c r="A68" s="75" t="s">
        <v>404</v>
      </c>
      <c r="H68" s="13"/>
      <c r="I68" s="13"/>
      <c r="J68" s="13"/>
      <c r="K68" s="13"/>
      <c r="L68" s="13"/>
      <c r="M68" s="13"/>
      <c r="N68" s="13"/>
      <c r="O68" s="13"/>
      <c r="P68" s="13"/>
      <c r="Q68" s="13"/>
      <c r="R68" s="13"/>
      <c r="S68" s="13"/>
      <c r="T68" s="13"/>
      <c r="U68" s="13"/>
      <c r="V68" s="13"/>
      <c r="W68" s="13"/>
      <c r="X68" s="13"/>
      <c r="Y68" s="13"/>
      <c r="Z68" s="13"/>
    </row>
    <row r="69">
      <c r="A69" s="75" t="s">
        <v>405</v>
      </c>
      <c r="H69" s="13"/>
      <c r="I69" s="13"/>
      <c r="J69" s="13"/>
      <c r="K69" s="13"/>
      <c r="L69" s="13"/>
      <c r="M69" s="13"/>
      <c r="N69" s="13"/>
      <c r="O69" s="13"/>
      <c r="P69" s="13"/>
      <c r="Q69" s="13"/>
      <c r="R69" s="13"/>
      <c r="S69" s="13"/>
      <c r="T69" s="13"/>
      <c r="U69" s="13"/>
      <c r="V69" s="13"/>
      <c r="W69" s="13"/>
      <c r="X69" s="13"/>
      <c r="Y69" s="13"/>
      <c r="Z69" s="13"/>
    </row>
    <row r="70">
      <c r="H70" s="13"/>
      <c r="I70" s="13"/>
      <c r="J70" s="13"/>
      <c r="K70" s="13"/>
      <c r="L70" s="13"/>
      <c r="M70" s="13"/>
      <c r="N70" s="13"/>
      <c r="O70" s="13"/>
      <c r="P70" s="13"/>
      <c r="Q70" s="13"/>
      <c r="R70" s="13"/>
      <c r="S70" s="13"/>
      <c r="T70" s="13"/>
      <c r="U70" s="13"/>
      <c r="V70" s="13"/>
      <c r="W70" s="13"/>
      <c r="X70" s="13"/>
      <c r="Y70" s="13"/>
      <c r="Z70" s="13"/>
    </row>
    <row r="71">
      <c r="A71" s="101" t="s">
        <v>407</v>
      </c>
      <c r="H71" s="13"/>
      <c r="I71" s="13"/>
      <c r="J71" s="13"/>
      <c r="K71" s="13"/>
      <c r="L71" s="13"/>
      <c r="M71" s="13"/>
      <c r="N71" s="13"/>
      <c r="O71" s="13"/>
      <c r="P71" s="13"/>
      <c r="Q71" s="13"/>
      <c r="R71" s="13"/>
      <c r="S71" s="13"/>
      <c r="T71" s="13"/>
      <c r="U71" s="13"/>
      <c r="V71" s="13"/>
      <c r="W71" s="13"/>
      <c r="X71" s="13"/>
      <c r="Y71" s="13"/>
      <c r="Z71" s="13"/>
    </row>
    <row r="72">
      <c r="A72" s="29" t="s">
        <v>409</v>
      </c>
      <c r="B72" s="29" t="s">
        <v>170</v>
      </c>
      <c r="C72" s="29" t="s">
        <v>173</v>
      </c>
      <c r="D72" s="29" t="s">
        <v>410</v>
      </c>
      <c r="H72" s="13"/>
      <c r="I72" s="13"/>
      <c r="J72" s="13"/>
      <c r="K72" s="13"/>
      <c r="L72" s="13"/>
      <c r="M72" s="13"/>
      <c r="N72" s="13"/>
      <c r="O72" s="13"/>
      <c r="P72" s="13"/>
      <c r="Q72" s="13"/>
      <c r="R72" s="13"/>
      <c r="S72" s="13"/>
      <c r="T72" s="13"/>
      <c r="U72" s="13"/>
      <c r="V72" s="13"/>
      <c r="W72" s="13"/>
      <c r="X72" s="13"/>
      <c r="Y72" s="13"/>
      <c r="Z72" s="13"/>
    </row>
    <row r="73">
      <c r="A73" s="6" t="s">
        <v>411</v>
      </c>
      <c r="B73" s="66" t="s">
        <v>415</v>
      </c>
      <c r="C73" s="66" t="s">
        <v>417</v>
      </c>
      <c r="D73" s="6" t="s">
        <v>419</v>
      </c>
      <c r="H73" s="13"/>
      <c r="I73" s="13"/>
      <c r="J73" s="13"/>
      <c r="K73" s="13"/>
      <c r="L73" s="13"/>
      <c r="M73" s="13"/>
      <c r="N73" s="13"/>
      <c r="O73" s="13"/>
      <c r="P73" s="13"/>
      <c r="Q73" s="13"/>
      <c r="R73" s="13"/>
      <c r="S73" s="13"/>
      <c r="T73" s="13"/>
      <c r="U73" s="13"/>
      <c r="V73" s="13"/>
      <c r="W73" s="13"/>
      <c r="X73" s="13"/>
      <c r="Y73" s="13"/>
      <c r="Z73" s="13"/>
    </row>
    <row r="74">
      <c r="A74" s="6" t="s">
        <v>421</v>
      </c>
      <c r="B74" s="105" t="s">
        <v>423</v>
      </c>
      <c r="C74" s="105" t="s">
        <v>430</v>
      </c>
      <c r="D74" s="6" t="s">
        <v>434</v>
      </c>
      <c r="H74" s="13"/>
      <c r="I74" s="13"/>
      <c r="J74" s="13"/>
      <c r="K74" s="13"/>
      <c r="L74" s="13"/>
      <c r="M74" s="13"/>
      <c r="N74" s="13"/>
      <c r="O74" s="13"/>
      <c r="P74" s="13"/>
      <c r="Q74" s="13"/>
      <c r="R74" s="13"/>
      <c r="S74" s="13"/>
      <c r="T74" s="13"/>
      <c r="U74" s="13"/>
      <c r="V74" s="13"/>
      <c r="W74" s="13"/>
      <c r="X74" s="13"/>
      <c r="Y74" s="13"/>
      <c r="Z74" s="13"/>
    </row>
    <row r="75">
      <c r="A75" s="6" t="s">
        <v>436</v>
      </c>
      <c r="B75" s="66" t="s">
        <v>437</v>
      </c>
      <c r="C75" s="66" t="s">
        <v>438</v>
      </c>
      <c r="D75" s="6" t="s">
        <v>439</v>
      </c>
      <c r="H75" s="13"/>
      <c r="I75" s="13"/>
      <c r="J75" s="13"/>
      <c r="K75" s="13"/>
      <c r="L75" s="13"/>
      <c r="M75" s="13"/>
      <c r="N75" s="13"/>
      <c r="O75" s="13"/>
      <c r="P75" s="13"/>
      <c r="Q75" s="13"/>
      <c r="R75" s="13"/>
      <c r="S75" s="13"/>
      <c r="T75" s="13"/>
      <c r="U75" s="13"/>
      <c r="V75" s="13"/>
      <c r="W75" s="13"/>
      <c r="X75" s="13"/>
      <c r="Y75" s="13"/>
      <c r="Z75" s="13"/>
    </row>
    <row r="76">
      <c r="A76" s="6" t="s">
        <v>441</v>
      </c>
      <c r="B76" s="66" t="s">
        <v>442</v>
      </c>
      <c r="C76" s="66" t="s">
        <v>443</v>
      </c>
      <c r="D76" s="6" t="s">
        <v>444</v>
      </c>
      <c r="F76" s="13"/>
      <c r="G76" s="13"/>
      <c r="H76" s="13"/>
      <c r="I76" s="13"/>
      <c r="J76" s="13"/>
      <c r="K76" s="13"/>
      <c r="L76" s="13"/>
      <c r="M76" s="13"/>
      <c r="N76" s="13"/>
      <c r="O76" s="13"/>
      <c r="P76" s="13"/>
      <c r="Q76" s="13"/>
      <c r="R76" s="13"/>
      <c r="S76" s="13"/>
      <c r="T76" s="13"/>
      <c r="U76" s="13"/>
      <c r="V76" s="13"/>
      <c r="W76" s="13"/>
      <c r="X76" s="13"/>
      <c r="Y76" s="13"/>
      <c r="Z76" s="13"/>
    </row>
    <row r="77">
      <c r="A77" s="6" t="s">
        <v>446</v>
      </c>
      <c r="B77" s="66" t="s">
        <v>447</v>
      </c>
      <c r="C77" s="66" t="s">
        <v>448</v>
      </c>
      <c r="D77" s="6" t="s">
        <v>449</v>
      </c>
      <c r="E77" s="12"/>
      <c r="F77" s="12"/>
      <c r="G77" s="12"/>
      <c r="H77" s="13"/>
      <c r="I77" s="13"/>
      <c r="J77" s="13"/>
      <c r="K77" s="13"/>
      <c r="L77" s="13"/>
      <c r="M77" s="13"/>
      <c r="N77" s="13"/>
      <c r="O77" s="13"/>
      <c r="P77" s="13"/>
      <c r="Q77" s="13"/>
      <c r="R77" s="13"/>
      <c r="S77" s="13"/>
      <c r="T77" s="13"/>
      <c r="U77" s="13"/>
      <c r="V77" s="13"/>
      <c r="W77" s="13"/>
      <c r="X77" s="13"/>
      <c r="Y77" s="13"/>
      <c r="Z77" s="13"/>
    </row>
    <row r="78">
      <c r="A78" s="6" t="s">
        <v>450</v>
      </c>
      <c r="B78" s="66" t="s">
        <v>451</v>
      </c>
      <c r="C78" s="66" t="s">
        <v>452</v>
      </c>
      <c r="D78" s="6" t="s">
        <v>453</v>
      </c>
      <c r="E78" s="12"/>
      <c r="F78" s="12"/>
      <c r="G78" s="12"/>
      <c r="H78" s="13"/>
      <c r="I78" s="13"/>
      <c r="J78" s="13"/>
      <c r="K78" s="13"/>
      <c r="L78" s="13"/>
      <c r="M78" s="13"/>
      <c r="N78" s="13"/>
      <c r="O78" s="13"/>
      <c r="P78" s="13"/>
      <c r="Q78" s="13"/>
      <c r="R78" s="13"/>
      <c r="S78" s="13"/>
      <c r="T78" s="13"/>
      <c r="U78" s="13"/>
      <c r="V78" s="13"/>
      <c r="W78" s="13"/>
      <c r="X78" s="13"/>
      <c r="Y78" s="13"/>
      <c r="Z78" s="13"/>
    </row>
    <row r="79">
      <c r="A79" s="6" t="s">
        <v>454</v>
      </c>
      <c r="B79" s="105" t="s">
        <v>455</v>
      </c>
      <c r="C79" s="66" t="s">
        <v>459</v>
      </c>
      <c r="D79" s="6" t="s">
        <v>439</v>
      </c>
      <c r="E79" s="12"/>
      <c r="F79" s="12"/>
      <c r="G79" s="12"/>
      <c r="H79" s="13"/>
      <c r="I79" s="13"/>
      <c r="J79" s="13"/>
      <c r="K79" s="13"/>
      <c r="L79" s="13"/>
      <c r="M79" s="13"/>
      <c r="N79" s="13"/>
      <c r="O79" s="13"/>
      <c r="P79" s="13"/>
      <c r="Q79" s="13"/>
      <c r="R79" s="13"/>
      <c r="S79" s="13"/>
      <c r="T79" s="13"/>
      <c r="U79" s="13"/>
      <c r="V79" s="13"/>
      <c r="W79" s="13"/>
      <c r="X79" s="13"/>
      <c r="Y79" s="13"/>
      <c r="Z79" s="13"/>
    </row>
    <row r="80">
      <c r="A80" s="6" t="s">
        <v>461</v>
      </c>
      <c r="B80" s="66" t="s">
        <v>462</v>
      </c>
      <c r="C80" s="66" t="s">
        <v>463</v>
      </c>
      <c r="D80" s="6" t="s">
        <v>464</v>
      </c>
      <c r="E80" s="12"/>
      <c r="F80" s="12"/>
      <c r="G80" s="12"/>
      <c r="H80" s="13"/>
      <c r="I80" s="13"/>
      <c r="J80" s="13"/>
      <c r="K80" s="13"/>
      <c r="L80" s="13"/>
      <c r="M80" s="13"/>
      <c r="N80" s="13"/>
      <c r="O80" s="13"/>
      <c r="P80" s="13"/>
      <c r="Q80" s="13"/>
      <c r="R80" s="13"/>
      <c r="S80" s="13"/>
      <c r="T80" s="13"/>
      <c r="U80" s="13"/>
      <c r="V80" s="13"/>
      <c r="W80" s="13"/>
      <c r="X80" s="13"/>
      <c r="Y80" s="13"/>
      <c r="Z80" s="13"/>
    </row>
    <row r="81">
      <c r="E81" s="12"/>
      <c r="F81" s="12"/>
      <c r="G81" s="12"/>
      <c r="H81" s="13"/>
      <c r="I81" s="13"/>
      <c r="J81" s="13"/>
      <c r="K81" s="13"/>
      <c r="L81" s="13"/>
      <c r="M81" s="13"/>
      <c r="N81" s="13"/>
      <c r="O81" s="13"/>
      <c r="P81" s="13"/>
      <c r="Q81" s="13"/>
      <c r="R81" s="13"/>
      <c r="S81" s="13"/>
      <c r="T81" s="13"/>
      <c r="U81" s="13"/>
      <c r="V81" s="13"/>
      <c r="W81" s="13"/>
      <c r="X81" s="13"/>
      <c r="Y81" s="13"/>
      <c r="Z81" s="13"/>
    </row>
    <row r="82">
      <c r="A82" s="77" t="s">
        <v>466</v>
      </c>
      <c r="B82" s="12"/>
      <c r="E82" s="12"/>
      <c r="F82" s="12"/>
      <c r="G82" s="12"/>
      <c r="H82" s="13"/>
      <c r="I82" s="13"/>
      <c r="J82" s="13"/>
      <c r="K82" s="13"/>
      <c r="L82" s="13"/>
      <c r="M82" s="13"/>
      <c r="N82" s="13"/>
      <c r="O82" s="13"/>
      <c r="P82" s="13"/>
      <c r="Q82" s="13"/>
      <c r="R82" s="13"/>
      <c r="S82" s="13"/>
      <c r="T82" s="13"/>
      <c r="U82" s="13"/>
      <c r="V82" s="13"/>
      <c r="W82" s="13"/>
      <c r="X82" s="13"/>
      <c r="Y82" s="13"/>
      <c r="Z82" s="13"/>
    </row>
    <row r="83">
      <c r="A83" s="75" t="s">
        <v>467</v>
      </c>
      <c r="B83" s="12"/>
      <c r="E83" s="12"/>
      <c r="F83" s="12"/>
      <c r="G83" s="12"/>
      <c r="H83" s="13"/>
      <c r="I83" s="13"/>
      <c r="J83" s="13"/>
      <c r="K83" s="13"/>
      <c r="L83" s="13"/>
      <c r="M83" s="13"/>
      <c r="N83" s="13"/>
      <c r="O83" s="13"/>
      <c r="P83" s="13"/>
      <c r="Q83" s="13"/>
      <c r="R83" s="13"/>
      <c r="S83" s="13"/>
      <c r="T83" s="13"/>
      <c r="U83" s="13"/>
      <c r="V83" s="13"/>
      <c r="W83" s="13"/>
      <c r="X83" s="13"/>
      <c r="Y83" s="13"/>
      <c r="Z83" s="13"/>
    </row>
    <row r="84">
      <c r="A84" s="78" t="s">
        <v>470</v>
      </c>
      <c r="B84" s="78" t="s">
        <v>471</v>
      </c>
      <c r="C84" s="78" t="s">
        <v>472</v>
      </c>
      <c r="E84" s="12"/>
      <c r="F84" s="12"/>
      <c r="G84" s="12"/>
      <c r="H84" s="13"/>
      <c r="I84" s="13"/>
      <c r="J84" s="13"/>
      <c r="K84" s="13"/>
      <c r="L84" s="13"/>
      <c r="M84" s="13"/>
      <c r="N84" s="13"/>
      <c r="O84" s="13"/>
      <c r="P84" s="13"/>
      <c r="Q84" s="13"/>
      <c r="R84" s="13"/>
      <c r="S84" s="13"/>
      <c r="T84" s="13"/>
      <c r="U84" s="13"/>
      <c r="V84" s="13"/>
      <c r="W84" s="13"/>
      <c r="X84" s="13"/>
      <c r="Y84" s="13"/>
      <c r="Z84" s="13"/>
    </row>
    <row r="85">
      <c r="A85" s="115" t="s">
        <v>473</v>
      </c>
      <c r="B85" s="115" t="s">
        <v>475</v>
      </c>
      <c r="C85" s="117" t="s">
        <v>476</v>
      </c>
      <c r="E85" s="12"/>
      <c r="F85" s="12"/>
      <c r="G85" s="12"/>
      <c r="H85" s="13"/>
      <c r="I85" s="13"/>
      <c r="J85" s="13"/>
      <c r="K85" s="13"/>
      <c r="L85" s="13"/>
      <c r="M85" s="13"/>
      <c r="N85" s="13"/>
      <c r="O85" s="13"/>
      <c r="P85" s="13"/>
      <c r="Q85" s="13"/>
      <c r="R85" s="13"/>
      <c r="S85" s="13"/>
      <c r="T85" s="13"/>
      <c r="U85" s="13"/>
      <c r="V85" s="13"/>
      <c r="W85" s="13"/>
      <c r="X85" s="13"/>
      <c r="Y85" s="13"/>
      <c r="Z85" s="13"/>
    </row>
    <row r="86">
      <c r="A86" s="115" t="s">
        <v>477</v>
      </c>
      <c r="B86" s="115" t="s">
        <v>475</v>
      </c>
      <c r="C86" s="117" t="s">
        <v>478</v>
      </c>
      <c r="E86" s="12"/>
      <c r="F86" s="12"/>
      <c r="G86" s="12"/>
      <c r="H86" s="13"/>
      <c r="I86" s="13"/>
      <c r="J86" s="13"/>
      <c r="K86" s="13"/>
      <c r="L86" s="13"/>
      <c r="M86" s="13"/>
      <c r="N86" s="13"/>
      <c r="O86" s="13"/>
      <c r="P86" s="13"/>
      <c r="Q86" s="13"/>
      <c r="R86" s="13"/>
      <c r="S86" s="13"/>
      <c r="T86" s="13"/>
      <c r="U86" s="13"/>
      <c r="V86" s="13"/>
      <c r="W86" s="13"/>
      <c r="X86" s="13"/>
      <c r="Y86" s="13"/>
      <c r="Z86" s="13"/>
    </row>
    <row r="87">
      <c r="A87" s="115" t="s">
        <v>479</v>
      </c>
      <c r="B87" s="115" t="s">
        <v>475</v>
      </c>
      <c r="C87" s="117" t="s">
        <v>480</v>
      </c>
      <c r="E87" s="12"/>
      <c r="F87" s="12"/>
      <c r="G87" s="12"/>
      <c r="H87" s="13"/>
      <c r="I87" s="13"/>
      <c r="J87" s="13"/>
      <c r="K87" s="13"/>
      <c r="L87" s="13"/>
      <c r="M87" s="13"/>
      <c r="N87" s="13"/>
      <c r="O87" s="13"/>
      <c r="P87" s="13"/>
      <c r="Q87" s="13"/>
      <c r="R87" s="13"/>
      <c r="S87" s="13"/>
      <c r="T87" s="13"/>
      <c r="U87" s="13"/>
      <c r="V87" s="13"/>
      <c r="W87" s="13"/>
      <c r="X87" s="13"/>
      <c r="Y87" s="13"/>
      <c r="Z87" s="13"/>
    </row>
    <row r="88">
      <c r="A88" s="115" t="s">
        <v>481</v>
      </c>
      <c r="B88" s="115" t="s">
        <v>482</v>
      </c>
      <c r="C88" s="117" t="s">
        <v>483</v>
      </c>
      <c r="E88" s="12"/>
      <c r="F88" s="12"/>
      <c r="G88" s="12"/>
      <c r="H88" s="13"/>
      <c r="I88" s="13"/>
      <c r="J88" s="13"/>
      <c r="K88" s="13"/>
      <c r="L88" s="13"/>
      <c r="M88" s="13"/>
      <c r="N88" s="13"/>
      <c r="O88" s="13"/>
      <c r="P88" s="13"/>
      <c r="Q88" s="13"/>
      <c r="R88" s="13"/>
      <c r="S88" s="13"/>
      <c r="T88" s="13"/>
      <c r="U88" s="13"/>
      <c r="V88" s="13"/>
      <c r="W88" s="13"/>
      <c r="X88" s="13"/>
      <c r="Y88" s="13"/>
      <c r="Z88" s="13"/>
    </row>
    <row r="89">
      <c r="A89" s="115" t="s">
        <v>484</v>
      </c>
      <c r="B89" s="115" t="s">
        <v>475</v>
      </c>
      <c r="C89" s="117" t="s">
        <v>485</v>
      </c>
      <c r="E89" s="12"/>
      <c r="F89" s="12"/>
      <c r="G89" s="12"/>
      <c r="H89" s="13"/>
      <c r="I89" s="13"/>
      <c r="J89" s="13"/>
      <c r="K89" s="13"/>
      <c r="L89" s="13"/>
      <c r="M89" s="13"/>
      <c r="N89" s="13"/>
      <c r="O89" s="13"/>
      <c r="P89" s="13"/>
      <c r="Q89" s="13"/>
      <c r="R89" s="13"/>
      <c r="S89" s="13"/>
      <c r="T89" s="13"/>
      <c r="U89" s="13"/>
      <c r="V89" s="13"/>
      <c r="W89" s="13"/>
      <c r="X89" s="13"/>
      <c r="Y89" s="13"/>
      <c r="Z89" s="13"/>
    </row>
    <row r="90">
      <c r="A90" s="12"/>
      <c r="B90" s="12"/>
      <c r="C90" s="12"/>
      <c r="D90" s="12"/>
      <c r="E90" s="12"/>
      <c r="F90" s="12"/>
      <c r="G90" s="12"/>
      <c r="H90" s="13"/>
      <c r="I90" s="13"/>
      <c r="J90" s="13"/>
      <c r="K90" s="13"/>
      <c r="L90" s="13"/>
      <c r="M90" s="13"/>
      <c r="N90" s="13"/>
      <c r="O90" s="13"/>
      <c r="P90" s="13"/>
      <c r="Q90" s="13"/>
      <c r="R90" s="13"/>
      <c r="S90" s="13"/>
      <c r="T90" s="13"/>
      <c r="U90" s="13"/>
      <c r="V90" s="13"/>
      <c r="W90" s="13"/>
      <c r="X90" s="13"/>
      <c r="Y90" s="13"/>
      <c r="Z90" s="13"/>
    </row>
    <row r="91">
      <c r="A91" s="77" t="s">
        <v>486</v>
      </c>
      <c r="B91" s="12"/>
      <c r="C91" s="12"/>
      <c r="D91" s="12"/>
      <c r="E91" s="12"/>
      <c r="F91" s="12"/>
      <c r="G91" s="12"/>
      <c r="H91" s="13"/>
      <c r="I91" s="13"/>
      <c r="J91" s="13"/>
      <c r="K91" s="13"/>
      <c r="L91" s="13"/>
      <c r="M91" s="13"/>
      <c r="N91" s="13"/>
      <c r="O91" s="13"/>
      <c r="P91" s="13"/>
      <c r="Q91" s="13"/>
      <c r="R91" s="13"/>
      <c r="S91" s="13"/>
      <c r="T91" s="13"/>
      <c r="U91" s="13"/>
      <c r="V91" s="13"/>
      <c r="W91" s="13"/>
      <c r="X91" s="13"/>
      <c r="Y91" s="13"/>
      <c r="Z91" s="13"/>
    </row>
    <row r="92">
      <c r="A92" s="78" t="s">
        <v>487</v>
      </c>
      <c r="B92" s="78" t="s">
        <v>488</v>
      </c>
      <c r="C92" s="12"/>
      <c r="D92" s="12"/>
      <c r="E92" s="12"/>
      <c r="F92" s="12"/>
      <c r="G92" s="12"/>
      <c r="H92" s="13"/>
      <c r="I92" s="13"/>
      <c r="J92" s="13"/>
      <c r="K92" s="13"/>
      <c r="L92" s="13"/>
      <c r="M92" s="13"/>
      <c r="N92" s="13"/>
      <c r="O92" s="13"/>
      <c r="P92" s="13"/>
      <c r="Q92" s="13"/>
      <c r="R92" s="13"/>
      <c r="S92" s="13"/>
      <c r="T92" s="13"/>
      <c r="U92" s="13"/>
      <c r="V92" s="13"/>
      <c r="W92" s="13"/>
      <c r="X92" s="13"/>
      <c r="Y92" s="13"/>
      <c r="Z92" s="13"/>
    </row>
    <row r="93">
      <c r="A93" s="115" t="s">
        <v>489</v>
      </c>
      <c r="B93" s="83" t="s">
        <v>490</v>
      </c>
      <c r="C93" s="12"/>
      <c r="D93" s="12"/>
      <c r="E93" s="12"/>
      <c r="F93" s="12"/>
      <c r="G93" s="12"/>
      <c r="H93" s="13"/>
      <c r="I93" s="13"/>
      <c r="J93" s="13"/>
      <c r="K93" s="13"/>
      <c r="L93" s="13"/>
      <c r="M93" s="13"/>
      <c r="N93" s="13"/>
      <c r="O93" s="13"/>
      <c r="P93" s="13"/>
      <c r="Q93" s="13"/>
      <c r="R93" s="13"/>
      <c r="S93" s="13"/>
      <c r="T93" s="13"/>
      <c r="U93" s="13"/>
      <c r="V93" s="13"/>
      <c r="W93" s="13"/>
      <c r="X93" s="13"/>
      <c r="Y93" s="13"/>
      <c r="Z93" s="13"/>
    </row>
    <row r="94">
      <c r="A94" s="115" t="s">
        <v>491</v>
      </c>
      <c r="B94" s="83" t="s">
        <v>492</v>
      </c>
      <c r="C94" s="12"/>
      <c r="D94" s="12"/>
      <c r="E94" s="12"/>
      <c r="F94" s="12"/>
      <c r="G94" s="12"/>
      <c r="H94" s="13"/>
      <c r="I94" s="13"/>
      <c r="J94" s="13"/>
      <c r="K94" s="13"/>
      <c r="L94" s="13"/>
      <c r="M94" s="13"/>
      <c r="N94" s="13"/>
      <c r="O94" s="13"/>
      <c r="P94" s="13"/>
      <c r="Q94" s="13"/>
      <c r="R94" s="13"/>
      <c r="S94" s="13"/>
      <c r="T94" s="13"/>
      <c r="U94" s="13"/>
      <c r="V94" s="13"/>
      <c r="W94" s="13"/>
      <c r="X94" s="13"/>
      <c r="Y94" s="13"/>
      <c r="Z94" s="13"/>
    </row>
    <row r="95">
      <c r="A95" s="115" t="s">
        <v>493</v>
      </c>
      <c r="B95" s="83" t="s">
        <v>494</v>
      </c>
      <c r="C95" s="12"/>
      <c r="D95" s="12"/>
      <c r="E95" s="12"/>
      <c r="F95" s="12"/>
      <c r="G95" s="12"/>
      <c r="H95" s="13"/>
      <c r="I95" s="13"/>
      <c r="J95" s="13"/>
      <c r="K95" s="13"/>
      <c r="L95" s="13"/>
      <c r="M95" s="13"/>
      <c r="N95" s="13"/>
      <c r="O95" s="13"/>
      <c r="P95" s="13"/>
      <c r="Q95" s="13"/>
      <c r="R95" s="13"/>
      <c r="S95" s="13"/>
      <c r="T95" s="13"/>
      <c r="U95" s="13"/>
      <c r="V95" s="13"/>
      <c r="W95" s="13"/>
      <c r="X95" s="13"/>
      <c r="Y95" s="13"/>
      <c r="Z95" s="13"/>
    </row>
    <row r="96">
      <c r="A96" s="12"/>
      <c r="B96" s="12"/>
      <c r="C96" s="12"/>
      <c r="D96" s="12"/>
      <c r="E96" s="12"/>
      <c r="F96" s="12"/>
      <c r="G96" s="12"/>
      <c r="H96" s="13"/>
      <c r="I96" s="13"/>
      <c r="J96" s="13"/>
      <c r="K96" s="13"/>
      <c r="L96" s="13"/>
      <c r="M96" s="13"/>
      <c r="N96" s="13"/>
      <c r="O96" s="13"/>
      <c r="P96" s="13"/>
      <c r="Q96" s="13"/>
      <c r="R96" s="13"/>
      <c r="S96" s="13"/>
      <c r="T96" s="13"/>
      <c r="U96" s="13"/>
      <c r="V96" s="13"/>
      <c r="W96" s="13"/>
      <c r="X96" s="13"/>
      <c r="Y96" s="13"/>
      <c r="Z96" s="13"/>
    </row>
    <row r="97">
      <c r="A97" s="119" t="s">
        <v>495</v>
      </c>
      <c r="F97" s="12"/>
      <c r="G97" s="12"/>
      <c r="H97" s="13"/>
      <c r="I97" s="13"/>
      <c r="J97" s="13"/>
      <c r="K97" s="13"/>
      <c r="L97" s="13"/>
      <c r="M97" s="13"/>
      <c r="N97" s="13"/>
      <c r="O97" s="13"/>
      <c r="P97" s="13"/>
      <c r="Q97" s="13"/>
      <c r="R97" s="13"/>
      <c r="S97" s="13"/>
      <c r="T97" s="13"/>
      <c r="U97" s="13"/>
      <c r="V97" s="13"/>
      <c r="W97" s="13"/>
      <c r="X97" s="13"/>
      <c r="Y97" s="13"/>
      <c r="Z97" s="13"/>
    </row>
    <row r="98">
      <c r="A98" s="12"/>
      <c r="B98" s="12"/>
      <c r="C98" s="12"/>
      <c r="D98" s="12"/>
      <c r="E98" s="12"/>
      <c r="F98" s="12"/>
      <c r="G98" s="12"/>
      <c r="H98" s="13"/>
      <c r="I98" s="13"/>
      <c r="J98" s="13"/>
      <c r="K98" s="13"/>
      <c r="L98" s="13"/>
      <c r="M98" s="13"/>
      <c r="N98" s="13"/>
      <c r="O98" s="13"/>
      <c r="P98" s="13"/>
      <c r="Q98" s="13"/>
      <c r="R98" s="13"/>
      <c r="S98" s="13"/>
      <c r="T98" s="13"/>
      <c r="U98" s="13"/>
      <c r="V98" s="13"/>
      <c r="W98" s="13"/>
      <c r="X98" s="13"/>
      <c r="Y98" s="13"/>
      <c r="Z98" s="13"/>
    </row>
    <row r="99">
      <c r="A99" s="120" t="s">
        <v>496</v>
      </c>
      <c r="C99" s="12"/>
      <c r="D99" s="12"/>
      <c r="E99" s="12"/>
      <c r="F99" s="12"/>
      <c r="G99" s="12"/>
      <c r="H99" s="13"/>
      <c r="I99" s="13"/>
      <c r="J99" s="13"/>
      <c r="K99" s="13"/>
      <c r="L99" s="13"/>
      <c r="M99" s="13"/>
      <c r="N99" s="13"/>
      <c r="O99" s="13"/>
      <c r="P99" s="13"/>
      <c r="Q99" s="13"/>
      <c r="R99" s="13"/>
      <c r="S99" s="13"/>
      <c r="T99" s="13"/>
      <c r="U99" s="13"/>
      <c r="V99" s="13"/>
      <c r="W99" s="13"/>
      <c r="X99" s="13"/>
      <c r="Y99" s="13"/>
      <c r="Z99" s="13"/>
    </row>
    <row r="100">
      <c r="A100" s="121" t="s">
        <v>497</v>
      </c>
      <c r="C100" s="12"/>
      <c r="D100" s="12"/>
      <c r="E100" s="12"/>
      <c r="F100" s="12"/>
      <c r="G100" s="12"/>
      <c r="H100" s="13"/>
      <c r="I100" s="13"/>
      <c r="J100" s="13"/>
      <c r="K100" s="13"/>
      <c r="L100" s="13"/>
      <c r="M100" s="13"/>
      <c r="N100" s="13"/>
      <c r="O100" s="13"/>
      <c r="P100" s="13"/>
      <c r="Q100" s="13"/>
      <c r="R100" s="13"/>
      <c r="S100" s="13"/>
      <c r="T100" s="13"/>
      <c r="U100" s="13"/>
      <c r="V100" s="13"/>
      <c r="W100" s="13"/>
      <c r="X100" s="13"/>
      <c r="Y100" s="13"/>
      <c r="Z100" s="13"/>
    </row>
    <row r="101">
      <c r="A101" s="119" t="s">
        <v>498</v>
      </c>
      <c r="E101" s="12"/>
      <c r="F101" s="12"/>
      <c r="G101" s="12"/>
      <c r="H101" s="13"/>
      <c r="I101" s="13"/>
      <c r="J101" s="13"/>
      <c r="K101" s="13"/>
      <c r="L101" s="13"/>
      <c r="M101" s="13"/>
      <c r="N101" s="13"/>
      <c r="O101" s="13"/>
      <c r="P101" s="13"/>
      <c r="Q101" s="13"/>
      <c r="R101" s="13"/>
      <c r="S101" s="13"/>
      <c r="T101" s="13"/>
      <c r="U101" s="13"/>
      <c r="V101" s="13"/>
      <c r="W101" s="13"/>
      <c r="X101" s="13"/>
      <c r="Y101" s="13"/>
      <c r="Z101" s="13"/>
    </row>
    <row r="102">
      <c r="A102" s="119" t="s">
        <v>500</v>
      </c>
      <c r="E102" s="12"/>
      <c r="F102" s="12"/>
      <c r="G102" s="12"/>
      <c r="H102" s="13"/>
      <c r="I102" s="13"/>
      <c r="J102" s="13"/>
      <c r="K102" s="13"/>
      <c r="L102" s="13"/>
      <c r="M102" s="13"/>
      <c r="N102" s="13"/>
      <c r="O102" s="13"/>
      <c r="P102" s="13"/>
      <c r="Q102" s="13"/>
      <c r="R102" s="13"/>
      <c r="S102" s="13"/>
      <c r="T102" s="13"/>
      <c r="U102" s="13"/>
      <c r="V102" s="13"/>
      <c r="W102" s="13"/>
      <c r="X102" s="13"/>
      <c r="Y102" s="13"/>
      <c r="Z102" s="13"/>
    </row>
    <row r="103">
      <c r="A103" s="119" t="s">
        <v>501</v>
      </c>
      <c r="E103" s="12"/>
      <c r="F103" s="12"/>
      <c r="G103" s="12"/>
      <c r="H103" s="13"/>
      <c r="I103" s="13"/>
      <c r="J103" s="13"/>
      <c r="K103" s="13"/>
      <c r="L103" s="13"/>
      <c r="M103" s="13"/>
      <c r="N103" s="13"/>
      <c r="O103" s="13"/>
      <c r="P103" s="13"/>
      <c r="Q103" s="13"/>
      <c r="R103" s="13"/>
      <c r="S103" s="13"/>
      <c r="T103" s="13"/>
      <c r="U103" s="13"/>
      <c r="V103" s="13"/>
      <c r="W103" s="13"/>
      <c r="X103" s="13"/>
      <c r="Y103" s="13"/>
      <c r="Z103" s="13"/>
    </row>
    <row r="104">
      <c r="A104" s="121" t="s">
        <v>502</v>
      </c>
      <c r="E104" s="12"/>
      <c r="F104" s="12"/>
      <c r="G104" s="12"/>
      <c r="H104" s="13"/>
      <c r="I104" s="13"/>
      <c r="J104" s="13"/>
      <c r="K104" s="13"/>
      <c r="L104" s="13"/>
      <c r="M104" s="13"/>
      <c r="N104" s="13"/>
      <c r="O104" s="13"/>
      <c r="P104" s="13"/>
      <c r="Q104" s="13"/>
      <c r="R104" s="13"/>
      <c r="S104" s="13"/>
      <c r="T104" s="13"/>
      <c r="U104" s="13"/>
      <c r="V104" s="13"/>
      <c r="W104" s="13"/>
      <c r="X104" s="13"/>
      <c r="Y104" s="13"/>
      <c r="Z104" s="13"/>
    </row>
    <row r="105">
      <c r="A105" s="119" t="s">
        <v>504</v>
      </c>
      <c r="E105" s="12"/>
      <c r="F105" s="12"/>
      <c r="G105" s="12"/>
      <c r="H105" s="13"/>
      <c r="I105" s="13"/>
      <c r="J105" s="13"/>
      <c r="K105" s="13"/>
      <c r="L105" s="13"/>
      <c r="M105" s="13"/>
      <c r="N105" s="13"/>
      <c r="O105" s="13"/>
      <c r="P105" s="13"/>
      <c r="Q105" s="13"/>
      <c r="R105" s="13"/>
      <c r="S105" s="13"/>
      <c r="T105" s="13"/>
      <c r="U105" s="13"/>
      <c r="V105" s="13"/>
      <c r="W105" s="13"/>
      <c r="X105" s="13"/>
      <c r="Y105" s="13"/>
      <c r="Z105" s="13"/>
    </row>
    <row r="106">
      <c r="A106" s="119" t="s">
        <v>512</v>
      </c>
      <c r="E106" s="12"/>
      <c r="F106" s="12"/>
      <c r="G106" s="12"/>
      <c r="H106" s="13"/>
      <c r="I106" s="13"/>
      <c r="J106" s="13"/>
      <c r="K106" s="13"/>
      <c r="L106" s="13"/>
      <c r="M106" s="13"/>
      <c r="N106" s="13"/>
      <c r="O106" s="13"/>
      <c r="P106" s="13"/>
      <c r="Q106" s="13"/>
      <c r="R106" s="13"/>
      <c r="S106" s="13"/>
      <c r="T106" s="13"/>
      <c r="U106" s="13"/>
      <c r="V106" s="13"/>
      <c r="W106" s="13"/>
      <c r="X106" s="13"/>
      <c r="Y106" s="13"/>
      <c r="Z106" s="13"/>
    </row>
    <row r="107">
      <c r="A107" s="119" t="s">
        <v>514</v>
      </c>
      <c r="E107" s="12"/>
      <c r="F107" s="12"/>
      <c r="G107" s="12"/>
      <c r="H107" s="13"/>
      <c r="I107" s="13"/>
      <c r="J107" s="13"/>
      <c r="K107" s="13"/>
      <c r="L107" s="13"/>
      <c r="M107" s="13"/>
      <c r="N107" s="13"/>
      <c r="O107" s="13"/>
      <c r="P107" s="13"/>
      <c r="Q107" s="13"/>
      <c r="R107" s="13"/>
      <c r="S107" s="13"/>
      <c r="T107" s="13"/>
      <c r="U107" s="13"/>
      <c r="V107" s="13"/>
      <c r="W107" s="13"/>
      <c r="X107" s="13"/>
      <c r="Y107" s="13"/>
      <c r="Z107" s="13"/>
    </row>
    <row r="108">
      <c r="A108" s="121" t="s">
        <v>515</v>
      </c>
      <c r="E108" s="12"/>
      <c r="F108" s="12"/>
      <c r="G108" s="12"/>
      <c r="H108" s="13"/>
      <c r="I108" s="13"/>
      <c r="J108" s="13"/>
      <c r="K108" s="13"/>
      <c r="L108" s="13"/>
      <c r="M108" s="13"/>
      <c r="N108" s="13"/>
      <c r="O108" s="13"/>
      <c r="P108" s="13"/>
      <c r="Q108" s="13"/>
      <c r="R108" s="13"/>
      <c r="S108" s="13"/>
      <c r="T108" s="13"/>
      <c r="U108" s="13"/>
      <c r="V108" s="13"/>
      <c r="W108" s="13"/>
      <c r="X108" s="13"/>
      <c r="Y108" s="13"/>
      <c r="Z108" s="13"/>
    </row>
    <row r="109">
      <c r="A109" s="119" t="s">
        <v>517</v>
      </c>
      <c r="E109" s="12"/>
      <c r="F109" s="12"/>
      <c r="G109" s="12"/>
      <c r="H109" s="13"/>
      <c r="I109" s="13"/>
      <c r="J109" s="13"/>
      <c r="K109" s="13"/>
      <c r="L109" s="13"/>
      <c r="M109" s="13"/>
      <c r="N109" s="13"/>
      <c r="O109" s="13"/>
      <c r="P109" s="13"/>
      <c r="Q109" s="13"/>
      <c r="R109" s="13"/>
      <c r="S109" s="13"/>
      <c r="T109" s="13"/>
      <c r="U109" s="13"/>
      <c r="V109" s="13"/>
      <c r="W109" s="13"/>
      <c r="X109" s="13"/>
      <c r="Y109" s="13"/>
      <c r="Z109" s="13"/>
    </row>
    <row r="110">
      <c r="A110" s="119" t="s">
        <v>518</v>
      </c>
      <c r="B110" s="12"/>
      <c r="C110" s="12"/>
      <c r="D110" s="12"/>
      <c r="E110" s="12"/>
      <c r="F110" s="12"/>
      <c r="G110" s="12"/>
      <c r="H110" s="13"/>
      <c r="I110" s="13"/>
      <c r="J110" s="13"/>
      <c r="K110" s="13"/>
      <c r="L110" s="13"/>
      <c r="M110" s="13"/>
      <c r="N110" s="13"/>
      <c r="O110" s="13"/>
      <c r="P110" s="13"/>
      <c r="Q110" s="13"/>
      <c r="R110" s="13"/>
      <c r="S110" s="13"/>
      <c r="T110" s="13"/>
      <c r="U110" s="13"/>
      <c r="V110" s="13"/>
      <c r="W110" s="13"/>
      <c r="X110" s="13"/>
      <c r="Y110" s="13"/>
      <c r="Z110" s="13"/>
    </row>
    <row r="111">
      <c r="A111" s="119" t="s">
        <v>520</v>
      </c>
      <c r="B111" s="12"/>
      <c r="C111" s="12"/>
      <c r="D111" s="12"/>
      <c r="E111" s="12"/>
      <c r="F111" s="12"/>
      <c r="G111" s="12"/>
      <c r="H111" s="13"/>
      <c r="I111" s="13"/>
      <c r="J111" s="13"/>
      <c r="K111" s="13"/>
      <c r="L111" s="13"/>
      <c r="M111" s="13"/>
      <c r="N111" s="13"/>
      <c r="O111" s="13"/>
      <c r="P111" s="13"/>
      <c r="Q111" s="13"/>
      <c r="R111" s="13"/>
      <c r="S111" s="13"/>
      <c r="T111" s="13"/>
      <c r="U111" s="13"/>
      <c r="V111" s="13"/>
      <c r="W111" s="13"/>
      <c r="X111" s="13"/>
      <c r="Y111" s="13"/>
      <c r="Z111" s="13"/>
    </row>
    <row r="112">
      <c r="A112" s="121" t="s">
        <v>522</v>
      </c>
      <c r="C112" s="12"/>
      <c r="D112" s="12"/>
      <c r="E112" s="12"/>
      <c r="F112" s="12"/>
      <c r="G112" s="12"/>
      <c r="H112" s="13"/>
      <c r="I112" s="13"/>
      <c r="J112" s="13"/>
      <c r="K112" s="13"/>
      <c r="L112" s="13"/>
      <c r="M112" s="13"/>
      <c r="N112" s="13"/>
      <c r="O112" s="13"/>
      <c r="P112" s="13"/>
      <c r="Q112" s="13"/>
      <c r="R112" s="13"/>
      <c r="S112" s="13"/>
      <c r="T112" s="13"/>
      <c r="U112" s="13"/>
      <c r="V112" s="13"/>
      <c r="W112" s="13"/>
      <c r="X112" s="13"/>
      <c r="Y112" s="13"/>
      <c r="Z112" s="13"/>
    </row>
    <row r="113">
      <c r="A113" s="119" t="s">
        <v>523</v>
      </c>
      <c r="B113" s="12"/>
      <c r="C113" s="12"/>
      <c r="D113" s="12"/>
      <c r="E113" s="12"/>
      <c r="F113" s="12"/>
      <c r="G113" s="12"/>
      <c r="H113" s="13"/>
      <c r="I113" s="13"/>
      <c r="J113" s="13"/>
      <c r="K113" s="13"/>
      <c r="L113" s="13"/>
      <c r="M113" s="13"/>
      <c r="N113" s="13"/>
      <c r="O113" s="13"/>
      <c r="P113" s="13"/>
      <c r="Q113" s="13"/>
      <c r="R113" s="13"/>
      <c r="S113" s="13"/>
      <c r="T113" s="13"/>
      <c r="U113" s="13"/>
      <c r="V113" s="13"/>
      <c r="W113" s="13"/>
      <c r="X113" s="13"/>
      <c r="Y113" s="13"/>
      <c r="Z113" s="13"/>
    </row>
    <row r="114">
      <c r="A114" s="119" t="s">
        <v>524</v>
      </c>
      <c r="B114" s="12"/>
      <c r="C114" s="12"/>
      <c r="D114" s="12"/>
      <c r="E114" s="12"/>
      <c r="F114" s="12"/>
      <c r="G114" s="12"/>
      <c r="H114" s="13"/>
      <c r="I114" s="13"/>
      <c r="J114" s="13"/>
      <c r="K114" s="13"/>
      <c r="L114" s="13"/>
      <c r="M114" s="13"/>
      <c r="N114" s="13"/>
      <c r="O114" s="13"/>
      <c r="P114" s="13"/>
      <c r="Q114" s="13"/>
      <c r="R114" s="13"/>
      <c r="S114" s="13"/>
      <c r="T114" s="13"/>
      <c r="U114" s="13"/>
      <c r="V114" s="13"/>
      <c r="W114" s="13"/>
      <c r="X114" s="13"/>
      <c r="Y114" s="13"/>
      <c r="Z114" s="13"/>
    </row>
    <row r="115">
      <c r="A115" s="119" t="s">
        <v>526</v>
      </c>
      <c r="B115" s="12"/>
      <c r="C115" s="12"/>
      <c r="D115" s="12"/>
      <c r="E115" s="12"/>
      <c r="F115" s="12"/>
      <c r="G115" s="12"/>
      <c r="H115" s="13"/>
      <c r="I115" s="13"/>
      <c r="J115" s="13"/>
      <c r="K115" s="13"/>
      <c r="L115" s="13"/>
      <c r="M115" s="13"/>
      <c r="N115" s="13"/>
      <c r="O115" s="13"/>
      <c r="P115" s="13"/>
      <c r="Q115" s="13"/>
      <c r="R115" s="13"/>
      <c r="S115" s="13"/>
      <c r="T115" s="13"/>
      <c r="U115" s="13"/>
      <c r="V115" s="13"/>
      <c r="W115" s="13"/>
      <c r="X115" s="13"/>
      <c r="Y115" s="13"/>
      <c r="Z115" s="13"/>
    </row>
    <row r="116">
      <c r="B116" s="12"/>
      <c r="C116" s="12"/>
      <c r="D116" s="12"/>
      <c r="E116" s="12"/>
      <c r="F116" s="12"/>
      <c r="G116" s="12"/>
      <c r="H116" s="13"/>
      <c r="I116" s="13"/>
      <c r="J116" s="13"/>
      <c r="K116" s="13"/>
      <c r="L116" s="13"/>
      <c r="M116" s="13"/>
      <c r="N116" s="13"/>
      <c r="O116" s="13"/>
      <c r="P116" s="13"/>
      <c r="Q116" s="13"/>
      <c r="R116" s="13"/>
      <c r="S116" s="13"/>
      <c r="T116" s="13"/>
      <c r="U116" s="13"/>
      <c r="V116" s="13"/>
      <c r="W116" s="13"/>
      <c r="X116" s="13"/>
      <c r="Y116" s="13"/>
      <c r="Z116" s="13"/>
    </row>
    <row r="117">
      <c r="B117" s="12"/>
      <c r="C117" s="12"/>
      <c r="D117" s="12"/>
      <c r="E117" s="12"/>
      <c r="F117" s="12"/>
      <c r="G117" s="12"/>
      <c r="H117" s="13"/>
      <c r="I117" s="13"/>
      <c r="J117" s="13"/>
      <c r="K117" s="13"/>
      <c r="L117" s="13"/>
      <c r="M117" s="13"/>
      <c r="N117" s="13"/>
      <c r="O117" s="13"/>
      <c r="P117" s="13"/>
      <c r="Q117" s="13"/>
      <c r="R117" s="13"/>
      <c r="S117" s="13"/>
      <c r="T117" s="13"/>
      <c r="U117" s="13"/>
      <c r="V117" s="13"/>
      <c r="W117" s="13"/>
      <c r="X117" s="13"/>
      <c r="Y117" s="13"/>
      <c r="Z117" s="13"/>
    </row>
    <row r="118">
      <c r="F118" s="12"/>
      <c r="G118" s="12"/>
      <c r="H118" s="13"/>
      <c r="I118" s="13"/>
      <c r="J118" s="13"/>
      <c r="K118" s="13"/>
      <c r="L118" s="13"/>
      <c r="M118" s="13"/>
      <c r="N118" s="13"/>
      <c r="O118" s="13"/>
      <c r="P118" s="13"/>
      <c r="Q118" s="13"/>
      <c r="R118" s="13"/>
      <c r="S118" s="13"/>
      <c r="T118" s="13"/>
      <c r="U118" s="13"/>
      <c r="V118" s="13"/>
      <c r="W118" s="13"/>
      <c r="X118" s="13"/>
      <c r="Y118" s="13"/>
      <c r="Z118" s="13"/>
    </row>
    <row r="119">
      <c r="F119" s="12"/>
      <c r="G119" s="12"/>
      <c r="H119" s="13"/>
      <c r="I119" s="13"/>
      <c r="J119" s="13"/>
      <c r="K119" s="13"/>
      <c r="L119" s="13"/>
      <c r="M119" s="13"/>
      <c r="N119" s="13"/>
      <c r="O119" s="13"/>
      <c r="P119" s="13"/>
      <c r="Q119" s="13"/>
      <c r="R119" s="13"/>
      <c r="S119" s="13"/>
      <c r="T119" s="13"/>
      <c r="U119" s="13"/>
      <c r="V119" s="13"/>
      <c r="W119" s="13"/>
      <c r="X119" s="13"/>
      <c r="Y119" s="13"/>
      <c r="Z119" s="13"/>
    </row>
    <row r="120">
      <c r="F120" s="12"/>
      <c r="G120" s="12"/>
      <c r="H120" s="13"/>
      <c r="I120" s="13"/>
      <c r="J120" s="13"/>
      <c r="K120" s="13"/>
      <c r="L120" s="13"/>
      <c r="M120" s="13"/>
      <c r="N120" s="13"/>
      <c r="O120" s="13"/>
      <c r="P120" s="13"/>
      <c r="Q120" s="13"/>
      <c r="R120" s="13"/>
      <c r="S120" s="13"/>
      <c r="T120" s="13"/>
      <c r="U120" s="13"/>
      <c r="V120" s="13"/>
      <c r="W120" s="13"/>
      <c r="X120" s="13"/>
      <c r="Y120" s="13"/>
      <c r="Z120" s="13"/>
    </row>
    <row r="121">
      <c r="F121" s="12"/>
      <c r="G121" s="12"/>
      <c r="H121" s="13"/>
      <c r="I121" s="13"/>
      <c r="J121" s="13"/>
      <c r="K121" s="13"/>
      <c r="L121" s="13"/>
      <c r="M121" s="13"/>
      <c r="N121" s="13"/>
      <c r="O121" s="13"/>
      <c r="P121" s="13"/>
      <c r="Q121" s="13"/>
      <c r="R121" s="13"/>
      <c r="S121" s="13"/>
      <c r="T121" s="13"/>
      <c r="U121" s="13"/>
      <c r="V121" s="13"/>
      <c r="W121" s="13"/>
      <c r="X121" s="13"/>
      <c r="Y121" s="13"/>
      <c r="Z121" s="13"/>
    </row>
    <row r="122">
      <c r="F122" s="12"/>
      <c r="G122" s="12"/>
      <c r="H122" s="13"/>
      <c r="I122" s="13"/>
      <c r="J122" s="13"/>
      <c r="K122" s="13"/>
      <c r="L122" s="13"/>
      <c r="M122" s="13"/>
      <c r="N122" s="13"/>
      <c r="O122" s="13"/>
      <c r="P122" s="13"/>
      <c r="Q122" s="13"/>
      <c r="R122" s="13"/>
      <c r="S122" s="13"/>
      <c r="T122" s="13"/>
      <c r="U122" s="13"/>
      <c r="V122" s="13"/>
      <c r="W122" s="13"/>
      <c r="X122" s="13"/>
      <c r="Y122" s="13"/>
      <c r="Z122" s="13"/>
    </row>
    <row r="123">
      <c r="F123" s="12"/>
      <c r="G123" s="12"/>
      <c r="H123" s="13"/>
      <c r="I123" s="13"/>
      <c r="J123" s="13"/>
      <c r="K123" s="13"/>
      <c r="L123" s="13"/>
      <c r="M123" s="13"/>
      <c r="N123" s="13"/>
      <c r="O123" s="13"/>
      <c r="P123" s="13"/>
      <c r="Q123" s="13"/>
      <c r="R123" s="13"/>
      <c r="S123" s="13"/>
      <c r="T123" s="13"/>
      <c r="U123" s="13"/>
      <c r="V123" s="13"/>
      <c r="W123" s="13"/>
      <c r="X123" s="13"/>
      <c r="Y123" s="13"/>
      <c r="Z123" s="13"/>
    </row>
    <row r="124">
      <c r="D124" s="12"/>
      <c r="E124" s="12"/>
      <c r="F124" s="12"/>
      <c r="G124" s="12"/>
      <c r="H124" s="13"/>
      <c r="I124" s="13"/>
      <c r="J124" s="13"/>
      <c r="K124" s="13"/>
      <c r="L124" s="13"/>
      <c r="M124" s="13"/>
      <c r="N124" s="13"/>
      <c r="O124" s="13"/>
      <c r="P124" s="13"/>
      <c r="Q124" s="13"/>
      <c r="R124" s="13"/>
      <c r="S124" s="13"/>
      <c r="T124" s="13"/>
      <c r="U124" s="13"/>
      <c r="V124" s="13"/>
      <c r="W124" s="13"/>
      <c r="X124" s="13"/>
      <c r="Y124" s="13"/>
      <c r="Z124" s="13"/>
    </row>
    <row r="125">
      <c r="D125" s="12"/>
      <c r="E125" s="12"/>
      <c r="F125" s="12"/>
      <c r="G125" s="12"/>
      <c r="H125" s="13"/>
      <c r="I125" s="13"/>
      <c r="J125" s="13"/>
      <c r="K125" s="13"/>
      <c r="L125" s="13"/>
      <c r="M125" s="13"/>
      <c r="N125" s="13"/>
      <c r="O125" s="13"/>
      <c r="P125" s="13"/>
      <c r="Q125" s="13"/>
      <c r="R125" s="13"/>
      <c r="S125" s="13"/>
      <c r="T125" s="13"/>
      <c r="U125" s="13"/>
      <c r="V125" s="13"/>
      <c r="W125" s="13"/>
      <c r="X125" s="13"/>
      <c r="Y125" s="13"/>
      <c r="Z125" s="13"/>
    </row>
    <row r="126">
      <c r="A126" s="12"/>
      <c r="B126" s="12"/>
      <c r="C126" s="12"/>
      <c r="D126" s="12"/>
      <c r="E126" s="12"/>
      <c r="F126" s="12"/>
      <c r="G126" s="12"/>
      <c r="H126" s="13"/>
      <c r="I126" s="13"/>
      <c r="J126" s="13"/>
      <c r="K126" s="13"/>
      <c r="L126" s="13"/>
      <c r="M126" s="13"/>
      <c r="N126" s="13"/>
      <c r="O126" s="13"/>
      <c r="P126" s="13"/>
      <c r="Q126" s="13"/>
      <c r="R126" s="13"/>
      <c r="S126" s="13"/>
      <c r="T126" s="13"/>
      <c r="U126" s="13"/>
      <c r="V126" s="13"/>
      <c r="W126" s="13"/>
      <c r="X126" s="13"/>
      <c r="Y126" s="13"/>
      <c r="Z126" s="13"/>
    </row>
    <row r="127">
      <c r="A127" s="12"/>
      <c r="B127" s="12"/>
      <c r="C127" s="12"/>
      <c r="D127" s="12"/>
      <c r="E127" s="12"/>
      <c r="F127" s="12"/>
      <c r="G127" s="12"/>
      <c r="H127" s="13"/>
      <c r="I127" s="13"/>
      <c r="J127" s="13"/>
      <c r="K127" s="13"/>
      <c r="L127" s="13"/>
      <c r="M127" s="13"/>
      <c r="N127" s="13"/>
      <c r="O127" s="13"/>
      <c r="P127" s="13"/>
      <c r="Q127" s="13"/>
      <c r="R127" s="13"/>
      <c r="S127" s="13"/>
      <c r="T127" s="13"/>
      <c r="U127" s="13"/>
      <c r="V127" s="13"/>
      <c r="W127" s="13"/>
      <c r="X127" s="13"/>
      <c r="Y127" s="13"/>
      <c r="Z127" s="13"/>
    </row>
    <row r="128">
      <c r="A128" s="12"/>
      <c r="B128" s="12"/>
      <c r="C128" s="12"/>
      <c r="D128" s="12"/>
      <c r="E128" s="12"/>
      <c r="F128" s="12"/>
      <c r="G128" s="12"/>
      <c r="H128" s="13"/>
      <c r="I128" s="13"/>
      <c r="J128" s="13"/>
      <c r="K128" s="13"/>
      <c r="L128" s="13"/>
      <c r="M128" s="13"/>
      <c r="N128" s="13"/>
      <c r="O128" s="13"/>
      <c r="P128" s="13"/>
      <c r="Q128" s="13"/>
      <c r="R128" s="13"/>
      <c r="S128" s="13"/>
      <c r="T128" s="13"/>
      <c r="U128" s="13"/>
      <c r="V128" s="13"/>
      <c r="W128" s="13"/>
      <c r="X128" s="13"/>
      <c r="Y128" s="13"/>
      <c r="Z128" s="13"/>
    </row>
    <row r="129">
      <c r="A129" s="12"/>
      <c r="B129" s="12"/>
      <c r="C129" s="12"/>
      <c r="D129" s="12"/>
      <c r="E129" s="12"/>
      <c r="F129" s="12"/>
      <c r="G129" s="12"/>
      <c r="H129" s="13"/>
      <c r="I129" s="13"/>
      <c r="J129" s="13"/>
      <c r="K129" s="13"/>
      <c r="L129" s="13"/>
      <c r="M129" s="13"/>
      <c r="N129" s="13"/>
      <c r="O129" s="13"/>
      <c r="P129" s="13"/>
      <c r="Q129" s="13"/>
      <c r="R129" s="13"/>
      <c r="S129" s="13"/>
      <c r="T129" s="13"/>
      <c r="U129" s="13"/>
      <c r="V129" s="13"/>
      <c r="W129" s="13"/>
      <c r="X129" s="13"/>
      <c r="Y129" s="13"/>
      <c r="Z129" s="13"/>
    </row>
    <row r="130">
      <c r="A130" s="12"/>
      <c r="B130" s="12"/>
      <c r="C130" s="12"/>
      <c r="D130" s="12"/>
      <c r="E130" s="12"/>
      <c r="F130" s="12"/>
      <c r="G130" s="12"/>
      <c r="H130" s="13"/>
      <c r="I130" s="13"/>
      <c r="J130" s="13"/>
      <c r="K130" s="13"/>
      <c r="L130" s="13"/>
      <c r="M130" s="13"/>
      <c r="N130" s="13"/>
      <c r="O130" s="13"/>
      <c r="P130" s="13"/>
      <c r="Q130" s="13"/>
      <c r="R130" s="13"/>
      <c r="S130" s="13"/>
      <c r="T130" s="13"/>
      <c r="U130" s="13"/>
      <c r="V130" s="13"/>
      <c r="W130" s="13"/>
      <c r="X130" s="13"/>
      <c r="Y130" s="13"/>
      <c r="Z130" s="13"/>
    </row>
    <row r="131">
      <c r="A131" s="12"/>
      <c r="B131" s="12"/>
      <c r="C131" s="12"/>
      <c r="D131" s="12"/>
      <c r="E131" s="12"/>
      <c r="F131" s="12"/>
      <c r="G131" s="12"/>
      <c r="H131" s="13"/>
      <c r="I131" s="13"/>
      <c r="J131" s="13"/>
      <c r="K131" s="13"/>
      <c r="L131" s="13"/>
      <c r="M131" s="13"/>
      <c r="N131" s="13"/>
      <c r="O131" s="13"/>
      <c r="P131" s="13"/>
      <c r="Q131" s="13"/>
      <c r="R131" s="13"/>
      <c r="S131" s="13"/>
      <c r="T131" s="13"/>
      <c r="U131" s="13"/>
      <c r="V131" s="13"/>
      <c r="W131" s="13"/>
      <c r="X131" s="13"/>
      <c r="Y131" s="13"/>
      <c r="Z131" s="13"/>
    </row>
    <row r="132">
      <c r="A132" s="12"/>
      <c r="B132" s="12"/>
      <c r="C132" s="12"/>
      <c r="D132" s="12"/>
      <c r="E132" s="12"/>
      <c r="F132" s="12"/>
      <c r="G132" s="12"/>
      <c r="H132" s="13"/>
      <c r="I132" s="13"/>
      <c r="J132" s="13"/>
      <c r="K132" s="13"/>
      <c r="L132" s="13"/>
      <c r="M132" s="13"/>
      <c r="N132" s="13"/>
      <c r="O132" s="13"/>
      <c r="P132" s="13"/>
      <c r="Q132" s="13"/>
      <c r="R132" s="13"/>
      <c r="S132" s="13"/>
      <c r="T132" s="13"/>
      <c r="U132" s="13"/>
      <c r="V132" s="13"/>
      <c r="W132" s="13"/>
      <c r="X132" s="13"/>
      <c r="Y132" s="13"/>
      <c r="Z132" s="13"/>
    </row>
    <row r="133">
      <c r="A133" s="12"/>
      <c r="B133" s="12"/>
      <c r="C133" s="12"/>
      <c r="D133" s="12"/>
      <c r="E133" s="12"/>
      <c r="F133" s="12"/>
      <c r="G133" s="12"/>
      <c r="H133" s="13"/>
      <c r="I133" s="13"/>
      <c r="J133" s="13"/>
      <c r="K133" s="13"/>
      <c r="L133" s="13"/>
      <c r="M133" s="13"/>
      <c r="N133" s="13"/>
      <c r="O133" s="13"/>
      <c r="P133" s="13"/>
      <c r="Q133" s="13"/>
      <c r="R133" s="13"/>
      <c r="S133" s="13"/>
      <c r="T133" s="13"/>
      <c r="U133" s="13"/>
      <c r="V133" s="13"/>
      <c r="W133" s="13"/>
      <c r="X133" s="13"/>
      <c r="Y133" s="13"/>
      <c r="Z133" s="13"/>
    </row>
    <row r="134">
      <c r="C134" s="12"/>
      <c r="D134" s="12"/>
      <c r="E134" s="12"/>
      <c r="F134" s="12"/>
      <c r="G134" s="12"/>
      <c r="H134" s="13"/>
      <c r="I134" s="13"/>
      <c r="J134" s="13"/>
      <c r="K134" s="13"/>
      <c r="L134" s="13"/>
      <c r="M134" s="13"/>
      <c r="N134" s="13"/>
      <c r="O134" s="13"/>
      <c r="P134" s="13"/>
      <c r="Q134" s="13"/>
      <c r="R134" s="13"/>
      <c r="S134" s="13"/>
      <c r="T134" s="13"/>
      <c r="U134" s="13"/>
      <c r="V134" s="13"/>
      <c r="W134" s="13"/>
      <c r="X134" s="13"/>
      <c r="Y134" s="13"/>
      <c r="Z134" s="13"/>
    </row>
    <row r="135">
      <c r="C135" s="12"/>
      <c r="D135" s="12"/>
      <c r="E135" s="12"/>
      <c r="F135" s="12"/>
      <c r="G135" s="12"/>
      <c r="H135" s="13"/>
      <c r="I135" s="13"/>
      <c r="J135" s="13"/>
      <c r="K135" s="13"/>
      <c r="L135" s="13"/>
      <c r="M135" s="13"/>
      <c r="N135" s="13"/>
      <c r="O135" s="13"/>
      <c r="P135" s="13"/>
      <c r="Q135" s="13"/>
      <c r="R135" s="13"/>
      <c r="S135" s="13"/>
      <c r="T135" s="13"/>
      <c r="U135" s="13"/>
      <c r="V135" s="13"/>
      <c r="W135" s="13"/>
      <c r="X135" s="13"/>
      <c r="Y135" s="13"/>
      <c r="Z135" s="13"/>
    </row>
    <row r="136">
      <c r="C136" s="12"/>
      <c r="D136" s="12"/>
      <c r="E136" s="12"/>
      <c r="F136" s="12"/>
      <c r="G136" s="12"/>
      <c r="H136" s="13"/>
      <c r="I136" s="13"/>
      <c r="J136" s="13"/>
      <c r="K136" s="13"/>
      <c r="L136" s="13"/>
      <c r="M136" s="13"/>
      <c r="N136" s="13"/>
      <c r="O136" s="13"/>
      <c r="P136" s="13"/>
      <c r="Q136" s="13"/>
      <c r="R136" s="13"/>
      <c r="S136" s="13"/>
      <c r="T136" s="13"/>
      <c r="U136" s="13"/>
      <c r="V136" s="13"/>
      <c r="W136" s="13"/>
      <c r="X136" s="13"/>
      <c r="Y136" s="13"/>
      <c r="Z136" s="13"/>
    </row>
    <row r="137">
      <c r="C137" s="12"/>
      <c r="D137" s="12"/>
      <c r="E137" s="12"/>
      <c r="F137" s="12"/>
      <c r="G137" s="12"/>
      <c r="H137" s="13"/>
      <c r="I137" s="13"/>
      <c r="J137" s="13"/>
      <c r="K137" s="13"/>
      <c r="L137" s="13"/>
      <c r="M137" s="13"/>
      <c r="N137" s="13"/>
      <c r="O137" s="13"/>
      <c r="P137" s="13"/>
      <c r="Q137" s="13"/>
      <c r="R137" s="13"/>
      <c r="S137" s="13"/>
      <c r="T137" s="13"/>
      <c r="U137" s="13"/>
      <c r="V137" s="13"/>
      <c r="W137" s="13"/>
      <c r="X137" s="13"/>
      <c r="Y137" s="13"/>
      <c r="Z137" s="13"/>
    </row>
    <row r="138">
      <c r="C138" s="12"/>
      <c r="D138" s="12"/>
      <c r="E138" s="12"/>
      <c r="F138" s="12"/>
      <c r="G138" s="12"/>
      <c r="H138" s="13"/>
      <c r="I138" s="13"/>
      <c r="J138" s="13"/>
      <c r="K138" s="13"/>
      <c r="L138" s="13"/>
      <c r="M138" s="13"/>
      <c r="N138" s="13"/>
      <c r="O138" s="13"/>
      <c r="P138" s="13"/>
      <c r="Q138" s="13"/>
      <c r="R138" s="13"/>
      <c r="S138" s="13"/>
      <c r="T138" s="13"/>
      <c r="U138" s="13"/>
      <c r="V138" s="13"/>
      <c r="W138" s="13"/>
      <c r="X138" s="13"/>
      <c r="Y138" s="13"/>
      <c r="Z138" s="13"/>
    </row>
    <row r="139">
      <c r="A139" s="12"/>
      <c r="B139" s="12"/>
      <c r="C139" s="12"/>
      <c r="D139" s="12"/>
      <c r="E139" s="12"/>
      <c r="F139" s="12"/>
      <c r="G139" s="12"/>
      <c r="H139" s="13"/>
      <c r="I139" s="13"/>
      <c r="J139" s="13"/>
      <c r="K139" s="13"/>
      <c r="L139" s="13"/>
      <c r="M139" s="13"/>
      <c r="N139" s="13"/>
      <c r="O139" s="13"/>
      <c r="P139" s="13"/>
      <c r="Q139" s="13"/>
      <c r="R139" s="13"/>
      <c r="S139" s="13"/>
      <c r="T139" s="13"/>
      <c r="U139" s="13"/>
      <c r="V139" s="13"/>
      <c r="W139" s="13"/>
      <c r="X139" s="13"/>
      <c r="Y139" s="13"/>
      <c r="Z139" s="13"/>
    </row>
    <row r="140">
      <c r="A140" s="12"/>
      <c r="B140" s="12"/>
      <c r="C140" s="12"/>
      <c r="D140" s="12"/>
      <c r="E140" s="12"/>
      <c r="F140" s="12"/>
      <c r="G140" s="13"/>
      <c r="H140" s="13"/>
      <c r="I140" s="13"/>
      <c r="J140" s="13"/>
      <c r="K140" s="13"/>
      <c r="L140" s="13"/>
      <c r="M140" s="13"/>
      <c r="N140" s="13"/>
      <c r="O140" s="13"/>
      <c r="P140" s="13"/>
      <c r="Q140" s="13"/>
      <c r="R140" s="13"/>
      <c r="S140" s="13"/>
      <c r="T140" s="13"/>
      <c r="U140" s="13"/>
      <c r="V140" s="13"/>
      <c r="W140" s="13"/>
      <c r="X140" s="13"/>
      <c r="Y140" s="13"/>
      <c r="Z140" s="13"/>
    </row>
    <row r="141">
      <c r="A141" s="12"/>
      <c r="B141" s="12"/>
      <c r="C141" s="12"/>
      <c r="D141" s="12"/>
      <c r="E141" s="12"/>
      <c r="F141" s="12"/>
      <c r="G141" s="13"/>
      <c r="H141" s="13"/>
      <c r="I141" s="13"/>
      <c r="J141" s="13"/>
      <c r="K141" s="13"/>
      <c r="L141" s="13"/>
      <c r="M141" s="13"/>
      <c r="N141" s="13"/>
      <c r="O141" s="13"/>
      <c r="P141" s="13"/>
      <c r="Q141" s="13"/>
      <c r="R141" s="13"/>
      <c r="S141" s="13"/>
      <c r="T141" s="13"/>
      <c r="U141" s="13"/>
      <c r="V141" s="13"/>
      <c r="W141" s="13"/>
      <c r="X141" s="13"/>
      <c r="Y141" s="13"/>
      <c r="Z141" s="13"/>
    </row>
    <row r="142">
      <c r="A142" s="12"/>
      <c r="B142" s="12"/>
      <c r="C142" s="12"/>
      <c r="D142" s="12"/>
      <c r="E142" s="12"/>
      <c r="F142" s="12"/>
      <c r="G142" s="13"/>
      <c r="H142" s="13"/>
      <c r="I142" s="13"/>
      <c r="J142" s="13"/>
      <c r="K142" s="13"/>
      <c r="L142" s="13"/>
      <c r="M142" s="13"/>
      <c r="N142" s="13"/>
      <c r="O142" s="13"/>
      <c r="P142" s="13"/>
      <c r="Q142" s="13"/>
      <c r="R142" s="13"/>
      <c r="S142" s="13"/>
      <c r="T142" s="13"/>
      <c r="U142" s="13"/>
      <c r="V142" s="13"/>
      <c r="W142" s="13"/>
      <c r="X142" s="13"/>
      <c r="Y142" s="13"/>
      <c r="Z142" s="13"/>
    </row>
    <row r="143">
      <c r="A143" s="12"/>
      <c r="B143" s="12"/>
      <c r="C143" s="12"/>
      <c r="D143" s="12"/>
      <c r="E143" s="12"/>
      <c r="F143" s="12"/>
      <c r="G143" s="13"/>
      <c r="H143" s="13"/>
      <c r="I143" s="13"/>
      <c r="J143" s="13"/>
      <c r="K143" s="13"/>
      <c r="L143" s="13"/>
      <c r="M143" s="13"/>
      <c r="N143" s="13"/>
      <c r="O143" s="13"/>
      <c r="P143" s="13"/>
      <c r="Q143" s="13"/>
      <c r="R143" s="13"/>
      <c r="S143" s="13"/>
      <c r="T143" s="13"/>
      <c r="U143" s="13"/>
      <c r="V143" s="13"/>
      <c r="W143" s="13"/>
      <c r="X143" s="13"/>
      <c r="Y143" s="13"/>
      <c r="Z143" s="13"/>
    </row>
    <row r="144">
      <c r="A144" s="12"/>
      <c r="B144" s="12"/>
      <c r="C144" s="12"/>
      <c r="D144" s="12"/>
      <c r="E144" s="12"/>
      <c r="F144" s="12"/>
      <c r="G144" s="13"/>
      <c r="H144" s="13"/>
      <c r="I144" s="13"/>
      <c r="J144" s="13"/>
      <c r="K144" s="13"/>
      <c r="L144" s="13"/>
      <c r="M144" s="13"/>
      <c r="N144" s="13"/>
      <c r="O144" s="13"/>
      <c r="P144" s="13"/>
      <c r="Q144" s="13"/>
      <c r="R144" s="13"/>
      <c r="S144" s="13"/>
      <c r="T144" s="13"/>
      <c r="U144" s="13"/>
      <c r="V144" s="13"/>
      <c r="W144" s="13"/>
      <c r="X144" s="13"/>
      <c r="Y144" s="13"/>
      <c r="Z144" s="13"/>
    </row>
    <row r="145">
      <c r="A145" s="12"/>
      <c r="B145" s="12"/>
      <c r="C145" s="12"/>
      <c r="D145" s="12"/>
      <c r="E145" s="12"/>
      <c r="F145" s="12"/>
      <c r="G145" s="13"/>
      <c r="H145" s="13"/>
      <c r="I145" s="13"/>
      <c r="J145" s="13"/>
      <c r="K145" s="13"/>
      <c r="L145" s="13"/>
      <c r="M145" s="13"/>
      <c r="N145" s="13"/>
      <c r="O145" s="13"/>
      <c r="P145" s="13"/>
      <c r="Q145" s="13"/>
      <c r="R145" s="13"/>
      <c r="S145" s="13"/>
      <c r="T145" s="13"/>
      <c r="U145" s="13"/>
      <c r="V145" s="13"/>
      <c r="W145" s="13"/>
      <c r="X145" s="13"/>
      <c r="Y145" s="13"/>
      <c r="Z145" s="13"/>
    </row>
    <row r="146">
      <c r="A146" s="12"/>
      <c r="B146" s="12"/>
      <c r="C146" s="12"/>
      <c r="D146" s="12"/>
      <c r="E146" s="12"/>
      <c r="F146" s="12"/>
      <c r="G146" s="13"/>
      <c r="H146" s="13"/>
      <c r="I146" s="13"/>
      <c r="J146" s="13"/>
      <c r="K146" s="13"/>
      <c r="L146" s="13"/>
      <c r="M146" s="13"/>
      <c r="N146" s="13"/>
      <c r="O146" s="13"/>
      <c r="P146" s="13"/>
      <c r="Q146" s="13"/>
      <c r="R146" s="13"/>
      <c r="S146" s="13"/>
      <c r="T146" s="13"/>
      <c r="U146" s="13"/>
      <c r="V146" s="13"/>
      <c r="W146" s="13"/>
      <c r="X146" s="13"/>
      <c r="Y146" s="13"/>
      <c r="Z146" s="13"/>
    </row>
    <row r="147">
      <c r="A147" s="12"/>
      <c r="B147" s="12"/>
      <c r="C147" s="12"/>
      <c r="D147" s="12"/>
      <c r="E147" s="12"/>
      <c r="F147" s="12"/>
      <c r="G147" s="13"/>
      <c r="H147" s="13"/>
      <c r="I147" s="13"/>
      <c r="J147" s="13"/>
      <c r="K147" s="13"/>
      <c r="L147" s="13"/>
      <c r="M147" s="13"/>
      <c r="N147" s="13"/>
      <c r="O147" s="13"/>
      <c r="P147" s="13"/>
      <c r="Q147" s="13"/>
      <c r="R147" s="13"/>
      <c r="S147" s="13"/>
      <c r="T147" s="13"/>
      <c r="U147" s="13"/>
      <c r="V147" s="13"/>
      <c r="W147" s="13"/>
      <c r="X147" s="13"/>
      <c r="Y147" s="13"/>
      <c r="Z147" s="13"/>
    </row>
    <row r="148">
      <c r="A148" s="12"/>
      <c r="B148" s="12"/>
      <c r="C148" s="12"/>
      <c r="D148" s="12"/>
      <c r="E148" s="12"/>
      <c r="F148" s="12"/>
      <c r="G148" s="13"/>
      <c r="H148" s="13"/>
      <c r="I148" s="13"/>
      <c r="J148" s="13"/>
      <c r="K148" s="13"/>
      <c r="L148" s="13"/>
      <c r="M148" s="13"/>
      <c r="N148" s="13"/>
      <c r="O148" s="13"/>
      <c r="P148" s="13"/>
      <c r="Q148" s="13"/>
      <c r="R148" s="13"/>
      <c r="S148" s="13"/>
      <c r="T148" s="13"/>
      <c r="U148" s="13"/>
      <c r="V148" s="13"/>
      <c r="W148" s="13"/>
      <c r="X148" s="13"/>
      <c r="Y148" s="13"/>
      <c r="Z148" s="13"/>
    </row>
    <row r="149">
      <c r="A149" s="12"/>
      <c r="B149" s="12"/>
      <c r="C149" s="12"/>
      <c r="D149" s="12"/>
      <c r="E149" s="12"/>
      <c r="F149" s="12"/>
      <c r="G149" s="13"/>
      <c r="H149" s="13"/>
      <c r="I149" s="13"/>
      <c r="J149" s="13"/>
      <c r="K149" s="13"/>
      <c r="L149" s="13"/>
      <c r="M149" s="13"/>
      <c r="N149" s="13"/>
      <c r="O149" s="13"/>
      <c r="P149" s="13"/>
      <c r="Q149" s="13"/>
      <c r="R149" s="13"/>
      <c r="S149" s="13"/>
      <c r="T149" s="13"/>
      <c r="U149" s="13"/>
      <c r="V149" s="13"/>
      <c r="W149" s="13"/>
      <c r="X149" s="13"/>
      <c r="Y149" s="13"/>
      <c r="Z149" s="13"/>
    </row>
    <row r="150">
      <c r="A150" s="12"/>
      <c r="B150" s="12"/>
      <c r="C150" s="12"/>
      <c r="D150" s="12"/>
      <c r="E150" s="12"/>
      <c r="F150" s="12"/>
      <c r="G150" s="13"/>
      <c r="H150" s="13"/>
      <c r="I150" s="13"/>
      <c r="J150" s="13"/>
      <c r="K150" s="13"/>
      <c r="L150" s="13"/>
      <c r="M150" s="13"/>
      <c r="N150" s="13"/>
      <c r="O150" s="13"/>
      <c r="P150" s="13"/>
      <c r="Q150" s="13"/>
      <c r="R150" s="13"/>
      <c r="S150" s="13"/>
      <c r="T150" s="13"/>
      <c r="U150" s="13"/>
      <c r="V150" s="13"/>
      <c r="W150" s="13"/>
      <c r="X150" s="13"/>
      <c r="Y150" s="13"/>
      <c r="Z150" s="13"/>
    </row>
    <row r="151">
      <c r="A151" s="12"/>
      <c r="B151" s="12"/>
      <c r="C151" s="12"/>
      <c r="D151" s="12"/>
      <c r="E151" s="12"/>
      <c r="F151" s="12"/>
      <c r="G151" s="13"/>
      <c r="H151" s="13"/>
      <c r="I151" s="13"/>
      <c r="J151" s="13"/>
      <c r="K151" s="13"/>
      <c r="L151" s="13"/>
      <c r="M151" s="13"/>
      <c r="N151" s="13"/>
      <c r="O151" s="13"/>
      <c r="P151" s="13"/>
      <c r="Q151" s="13"/>
      <c r="R151" s="13"/>
      <c r="S151" s="13"/>
      <c r="T151" s="13"/>
      <c r="U151" s="13"/>
      <c r="V151" s="13"/>
      <c r="W151" s="13"/>
      <c r="X151" s="13"/>
      <c r="Y151" s="13"/>
      <c r="Z151" s="13"/>
    </row>
    <row r="152">
      <c r="A152" s="12"/>
      <c r="B152" s="12"/>
      <c r="C152" s="12"/>
      <c r="D152" s="12"/>
      <c r="E152" s="12"/>
      <c r="F152" s="12"/>
      <c r="G152" s="13"/>
      <c r="H152" s="13"/>
      <c r="I152" s="13"/>
      <c r="J152" s="13"/>
      <c r="K152" s="13"/>
      <c r="L152" s="13"/>
      <c r="M152" s="13"/>
      <c r="N152" s="13"/>
      <c r="O152" s="13"/>
      <c r="P152" s="13"/>
      <c r="Q152" s="13"/>
      <c r="R152" s="13"/>
      <c r="S152" s="13"/>
      <c r="T152" s="13"/>
      <c r="U152" s="13"/>
      <c r="V152" s="13"/>
      <c r="W152" s="13"/>
      <c r="X152" s="13"/>
      <c r="Y152" s="13"/>
      <c r="Z152" s="13"/>
    </row>
    <row r="153">
      <c r="A153" s="12"/>
      <c r="B153" s="12"/>
      <c r="C153" s="12"/>
      <c r="D153" s="12"/>
      <c r="E153" s="12"/>
      <c r="F153" s="12"/>
      <c r="G153" s="13"/>
      <c r="H153" s="13"/>
      <c r="I153" s="13"/>
      <c r="J153" s="13"/>
      <c r="K153" s="13"/>
      <c r="L153" s="13"/>
      <c r="M153" s="13"/>
      <c r="N153" s="13"/>
      <c r="O153" s="13"/>
      <c r="P153" s="13"/>
      <c r="Q153" s="13"/>
      <c r="R153" s="13"/>
      <c r="S153" s="13"/>
      <c r="T153" s="13"/>
      <c r="U153" s="13"/>
      <c r="V153" s="13"/>
      <c r="W153" s="13"/>
      <c r="X153" s="13"/>
      <c r="Y153" s="13"/>
      <c r="Z153" s="13"/>
    </row>
    <row r="154">
      <c r="A154" s="12"/>
      <c r="B154" s="12"/>
      <c r="C154" s="12"/>
      <c r="D154" s="12"/>
      <c r="E154" s="12"/>
      <c r="F154" s="12"/>
      <c r="G154" s="13"/>
      <c r="H154" s="13"/>
      <c r="I154" s="13"/>
      <c r="J154" s="13"/>
      <c r="K154" s="13"/>
      <c r="L154" s="13"/>
      <c r="M154" s="13"/>
      <c r="N154" s="13"/>
      <c r="O154" s="13"/>
      <c r="P154" s="13"/>
      <c r="Q154" s="13"/>
      <c r="R154" s="13"/>
      <c r="S154" s="13"/>
      <c r="T154" s="13"/>
      <c r="U154" s="13"/>
      <c r="V154" s="13"/>
      <c r="W154" s="13"/>
      <c r="X154" s="13"/>
      <c r="Y154" s="13"/>
      <c r="Z154" s="13"/>
    </row>
    <row r="155">
      <c r="A155" s="12"/>
      <c r="B155" s="12"/>
      <c r="C155" s="12"/>
      <c r="D155" s="12"/>
      <c r="E155" s="12"/>
      <c r="F155" s="12"/>
      <c r="G155" s="13"/>
      <c r="H155" s="13"/>
      <c r="I155" s="13"/>
      <c r="J155" s="13"/>
      <c r="K155" s="13"/>
      <c r="L155" s="13"/>
      <c r="M155" s="13"/>
      <c r="N155" s="13"/>
      <c r="O155" s="13"/>
      <c r="P155" s="13"/>
      <c r="Q155" s="13"/>
      <c r="R155" s="13"/>
      <c r="S155" s="13"/>
      <c r="T155" s="13"/>
      <c r="U155" s="13"/>
      <c r="V155" s="13"/>
      <c r="W155" s="13"/>
      <c r="X155" s="13"/>
      <c r="Y155" s="13"/>
      <c r="Z155" s="13"/>
    </row>
    <row r="156">
      <c r="A156" s="12"/>
      <c r="B156" s="12"/>
      <c r="C156" s="12"/>
      <c r="D156" s="12"/>
      <c r="E156" s="12"/>
      <c r="F156" s="12"/>
      <c r="G156" s="13"/>
      <c r="H156" s="13"/>
      <c r="I156" s="13"/>
      <c r="J156" s="13"/>
      <c r="K156" s="13"/>
      <c r="L156" s="13"/>
      <c r="M156" s="13"/>
      <c r="N156" s="13"/>
      <c r="O156" s="13"/>
      <c r="P156" s="13"/>
      <c r="Q156" s="13"/>
      <c r="R156" s="13"/>
      <c r="S156" s="13"/>
      <c r="T156" s="13"/>
      <c r="U156" s="13"/>
      <c r="V156" s="13"/>
      <c r="W156" s="13"/>
      <c r="X156" s="13"/>
      <c r="Y156" s="13"/>
      <c r="Z156" s="13"/>
    </row>
    <row r="157">
      <c r="A157" s="12"/>
      <c r="B157" s="12"/>
      <c r="C157" s="12"/>
      <c r="D157" s="12"/>
      <c r="E157" s="12"/>
      <c r="F157" s="12"/>
      <c r="G157" s="13"/>
      <c r="H157" s="13"/>
      <c r="I157" s="13"/>
      <c r="J157" s="13"/>
      <c r="K157" s="13"/>
      <c r="L157" s="13"/>
      <c r="M157" s="13"/>
      <c r="N157" s="13"/>
      <c r="O157" s="13"/>
      <c r="P157" s="13"/>
      <c r="Q157" s="13"/>
      <c r="R157" s="13"/>
      <c r="S157" s="13"/>
      <c r="T157" s="13"/>
      <c r="U157" s="13"/>
      <c r="V157" s="13"/>
      <c r="W157" s="13"/>
      <c r="X157" s="13"/>
      <c r="Y157" s="13"/>
      <c r="Z157" s="13"/>
    </row>
    <row r="158">
      <c r="A158" s="12"/>
      <c r="B158" s="12"/>
      <c r="C158" s="12"/>
      <c r="D158" s="12"/>
      <c r="E158" s="12"/>
      <c r="F158" s="12"/>
      <c r="G158" s="13"/>
      <c r="H158" s="13"/>
      <c r="I158" s="13"/>
      <c r="J158" s="13"/>
      <c r="K158" s="13"/>
      <c r="L158" s="13"/>
      <c r="M158" s="13"/>
      <c r="N158" s="13"/>
      <c r="O158" s="13"/>
      <c r="P158" s="13"/>
      <c r="Q158" s="13"/>
      <c r="R158" s="13"/>
      <c r="S158" s="13"/>
      <c r="T158" s="13"/>
      <c r="U158" s="13"/>
      <c r="V158" s="13"/>
      <c r="W158" s="13"/>
      <c r="X158" s="13"/>
      <c r="Y158" s="13"/>
      <c r="Z158" s="13"/>
    </row>
    <row r="159">
      <c r="A159" s="12"/>
      <c r="B159" s="12"/>
      <c r="C159" s="12"/>
      <c r="D159" s="12"/>
      <c r="E159" s="12"/>
      <c r="F159" s="12"/>
      <c r="G159" s="13"/>
      <c r="H159" s="13"/>
      <c r="I159" s="13"/>
      <c r="J159" s="13"/>
      <c r="K159" s="13"/>
      <c r="L159" s="13"/>
      <c r="M159" s="13"/>
      <c r="N159" s="13"/>
      <c r="O159" s="13"/>
      <c r="P159" s="13"/>
      <c r="Q159" s="13"/>
      <c r="R159" s="13"/>
      <c r="S159" s="13"/>
      <c r="T159" s="13"/>
      <c r="U159" s="13"/>
      <c r="V159" s="13"/>
      <c r="W159" s="13"/>
      <c r="X159" s="13"/>
      <c r="Y159" s="13"/>
      <c r="Z159" s="13"/>
    </row>
    <row r="160">
      <c r="A160" s="12"/>
      <c r="B160" s="12"/>
      <c r="C160" s="12"/>
      <c r="D160" s="12"/>
      <c r="E160" s="12"/>
      <c r="F160" s="12"/>
      <c r="G160" s="13"/>
      <c r="H160" s="13"/>
      <c r="I160" s="13"/>
      <c r="J160" s="13"/>
      <c r="K160" s="13"/>
      <c r="L160" s="13"/>
      <c r="M160" s="13"/>
      <c r="N160" s="13"/>
      <c r="O160" s="13"/>
      <c r="P160" s="13"/>
      <c r="Q160" s="13"/>
      <c r="R160" s="13"/>
      <c r="S160" s="13"/>
      <c r="T160" s="13"/>
      <c r="U160" s="13"/>
      <c r="V160" s="13"/>
      <c r="W160" s="13"/>
      <c r="X160" s="13"/>
      <c r="Y160" s="13"/>
      <c r="Z160" s="13"/>
    </row>
    <row r="161">
      <c r="A161" s="12"/>
      <c r="B161" s="12"/>
      <c r="C161" s="12"/>
      <c r="D161" s="12"/>
      <c r="E161" s="12"/>
      <c r="F161" s="12"/>
      <c r="G161" s="13"/>
      <c r="H161" s="13"/>
      <c r="I161" s="13"/>
      <c r="J161" s="13"/>
      <c r="K161" s="13"/>
      <c r="L161" s="13"/>
      <c r="M161" s="13"/>
      <c r="N161" s="13"/>
      <c r="O161" s="13"/>
      <c r="P161" s="13"/>
      <c r="Q161" s="13"/>
      <c r="R161" s="13"/>
      <c r="S161" s="13"/>
      <c r="T161" s="13"/>
      <c r="U161" s="13"/>
      <c r="V161" s="13"/>
      <c r="W161" s="13"/>
      <c r="X161" s="13"/>
      <c r="Y161" s="13"/>
      <c r="Z161" s="13"/>
    </row>
    <row r="162">
      <c r="A162" s="12"/>
      <c r="B162" s="12"/>
      <c r="C162" s="12"/>
      <c r="D162" s="12"/>
      <c r="E162" s="12"/>
      <c r="F162" s="12"/>
      <c r="G162" s="13"/>
      <c r="H162" s="13"/>
      <c r="I162" s="13"/>
      <c r="J162" s="13"/>
      <c r="K162" s="13"/>
      <c r="L162" s="13"/>
      <c r="M162" s="13"/>
      <c r="N162" s="13"/>
      <c r="O162" s="13"/>
      <c r="P162" s="13"/>
      <c r="Q162" s="13"/>
      <c r="R162" s="13"/>
      <c r="S162" s="13"/>
      <c r="T162" s="13"/>
      <c r="U162" s="13"/>
      <c r="V162" s="13"/>
      <c r="W162" s="13"/>
      <c r="X162" s="13"/>
      <c r="Y162" s="13"/>
      <c r="Z162" s="13"/>
    </row>
    <row r="163">
      <c r="A163" s="12"/>
      <c r="B163" s="12"/>
      <c r="C163" s="12"/>
      <c r="D163" s="12"/>
      <c r="E163" s="12"/>
      <c r="F163" s="12"/>
      <c r="G163" s="13"/>
      <c r="H163" s="13"/>
      <c r="I163" s="13"/>
      <c r="J163" s="13"/>
      <c r="K163" s="13"/>
      <c r="L163" s="13"/>
      <c r="M163" s="13"/>
      <c r="N163" s="13"/>
      <c r="O163" s="13"/>
      <c r="P163" s="13"/>
      <c r="Q163" s="13"/>
      <c r="R163" s="13"/>
      <c r="S163" s="13"/>
      <c r="T163" s="13"/>
      <c r="U163" s="13"/>
      <c r="V163" s="13"/>
      <c r="W163" s="13"/>
      <c r="X163" s="13"/>
      <c r="Y163" s="13"/>
      <c r="Z163" s="13"/>
    </row>
    <row r="164">
      <c r="A164" s="12"/>
      <c r="B164" s="12"/>
      <c r="C164" s="12"/>
      <c r="D164" s="12"/>
      <c r="E164" s="12"/>
      <c r="F164" s="12"/>
      <c r="G164" s="13"/>
      <c r="H164" s="13"/>
      <c r="I164" s="13"/>
      <c r="J164" s="13"/>
      <c r="K164" s="13"/>
      <c r="L164" s="13"/>
      <c r="M164" s="13"/>
      <c r="N164" s="13"/>
      <c r="O164" s="13"/>
      <c r="P164" s="13"/>
      <c r="Q164" s="13"/>
      <c r="R164" s="13"/>
      <c r="S164" s="13"/>
      <c r="T164" s="13"/>
      <c r="U164" s="13"/>
      <c r="V164" s="13"/>
      <c r="W164" s="13"/>
      <c r="X164" s="13"/>
      <c r="Y164" s="13"/>
      <c r="Z164" s="13"/>
    </row>
    <row r="165">
      <c r="A165" s="12"/>
      <c r="B165" s="12"/>
      <c r="C165" s="12"/>
      <c r="D165" s="12"/>
      <c r="E165" s="12"/>
      <c r="F165" s="12"/>
      <c r="G165" s="13"/>
      <c r="H165" s="13"/>
      <c r="I165" s="13"/>
      <c r="J165" s="13"/>
      <c r="K165" s="13"/>
      <c r="L165" s="13"/>
      <c r="M165" s="13"/>
      <c r="N165" s="13"/>
      <c r="O165" s="13"/>
      <c r="P165" s="13"/>
      <c r="Q165" s="13"/>
      <c r="R165" s="13"/>
      <c r="S165" s="13"/>
      <c r="T165" s="13"/>
      <c r="U165" s="13"/>
      <c r="V165" s="13"/>
      <c r="W165" s="13"/>
      <c r="X165" s="13"/>
      <c r="Y165" s="13"/>
      <c r="Z165" s="13"/>
    </row>
    <row r="166">
      <c r="A166" s="12"/>
      <c r="B166" s="12"/>
      <c r="C166" s="12"/>
      <c r="D166" s="12"/>
      <c r="E166" s="12"/>
      <c r="F166" s="12"/>
      <c r="G166" s="13"/>
      <c r="H166" s="13"/>
      <c r="I166" s="13"/>
      <c r="J166" s="13"/>
      <c r="K166" s="13"/>
      <c r="L166" s="13"/>
      <c r="M166" s="13"/>
      <c r="N166" s="13"/>
      <c r="O166" s="13"/>
      <c r="P166" s="13"/>
      <c r="Q166" s="13"/>
      <c r="R166" s="13"/>
      <c r="S166" s="13"/>
      <c r="T166" s="13"/>
      <c r="U166" s="13"/>
      <c r="V166" s="13"/>
      <c r="W166" s="13"/>
      <c r="X166" s="13"/>
      <c r="Y166" s="13"/>
      <c r="Z166" s="13"/>
    </row>
    <row r="167">
      <c r="A167" s="12"/>
      <c r="B167" s="12"/>
      <c r="C167" s="12"/>
      <c r="D167" s="12"/>
      <c r="E167" s="12"/>
      <c r="F167" s="12"/>
      <c r="G167" s="13"/>
      <c r="H167" s="13"/>
      <c r="I167" s="13"/>
      <c r="J167" s="13"/>
      <c r="K167" s="13"/>
      <c r="L167" s="13"/>
      <c r="M167" s="13"/>
      <c r="N167" s="13"/>
      <c r="O167" s="13"/>
      <c r="P167" s="13"/>
      <c r="Q167" s="13"/>
      <c r="R167" s="13"/>
      <c r="S167" s="13"/>
      <c r="T167" s="13"/>
      <c r="U167" s="13"/>
      <c r="V167" s="13"/>
      <c r="W167" s="13"/>
      <c r="X167" s="13"/>
      <c r="Y167" s="13"/>
      <c r="Z167" s="13"/>
    </row>
    <row r="168">
      <c r="A168" s="12"/>
      <c r="B168" s="12"/>
      <c r="C168" s="12"/>
      <c r="D168" s="12"/>
      <c r="E168" s="12"/>
      <c r="F168" s="12"/>
      <c r="G168" s="13"/>
      <c r="H168" s="13"/>
      <c r="I168" s="13"/>
      <c r="J168" s="13"/>
      <c r="K168" s="13"/>
      <c r="L168" s="13"/>
      <c r="M168" s="13"/>
      <c r="N168" s="13"/>
      <c r="O168" s="13"/>
      <c r="P168" s="13"/>
      <c r="Q168" s="13"/>
      <c r="R168" s="13"/>
      <c r="S168" s="13"/>
      <c r="T168" s="13"/>
      <c r="U168" s="13"/>
      <c r="V168" s="13"/>
      <c r="W168" s="13"/>
      <c r="X168" s="13"/>
      <c r="Y168" s="13"/>
      <c r="Z168" s="13"/>
    </row>
    <row r="169">
      <c r="A169" s="12"/>
      <c r="B169" s="12"/>
      <c r="C169" s="12"/>
      <c r="D169" s="12"/>
      <c r="E169" s="12"/>
      <c r="F169" s="12"/>
      <c r="G169" s="13"/>
      <c r="H169" s="13"/>
      <c r="I169" s="13"/>
      <c r="J169" s="13"/>
      <c r="K169" s="13"/>
      <c r="L169" s="13"/>
      <c r="M169" s="13"/>
      <c r="N169" s="13"/>
      <c r="O169" s="13"/>
      <c r="P169" s="13"/>
      <c r="Q169" s="13"/>
      <c r="R169" s="13"/>
      <c r="S169" s="13"/>
      <c r="T169" s="13"/>
      <c r="U169" s="13"/>
      <c r="V169" s="13"/>
      <c r="W169" s="13"/>
      <c r="X169" s="13"/>
      <c r="Y169" s="13"/>
      <c r="Z169" s="13"/>
    </row>
    <row r="170">
      <c r="A170" s="12"/>
      <c r="B170" s="12"/>
      <c r="C170" s="12"/>
      <c r="D170" s="12"/>
      <c r="E170" s="12"/>
      <c r="F170" s="12"/>
      <c r="G170" s="13"/>
      <c r="H170" s="13"/>
      <c r="I170" s="13"/>
      <c r="J170" s="13"/>
      <c r="K170" s="13"/>
      <c r="L170" s="13"/>
      <c r="M170" s="13"/>
      <c r="N170" s="13"/>
      <c r="O170" s="13"/>
      <c r="P170" s="13"/>
      <c r="Q170" s="13"/>
      <c r="R170" s="13"/>
      <c r="S170" s="13"/>
      <c r="T170" s="13"/>
      <c r="U170" s="13"/>
      <c r="V170" s="13"/>
      <c r="W170" s="13"/>
      <c r="X170" s="13"/>
      <c r="Y170" s="13"/>
      <c r="Z170" s="13"/>
    </row>
    <row r="171">
      <c r="A171" s="12"/>
      <c r="B171" s="12"/>
      <c r="C171" s="12"/>
      <c r="D171" s="12"/>
      <c r="E171" s="12"/>
      <c r="F171" s="12"/>
      <c r="G171" s="13"/>
      <c r="H171" s="13"/>
      <c r="I171" s="13"/>
      <c r="J171" s="13"/>
      <c r="K171" s="13"/>
      <c r="L171" s="13"/>
      <c r="M171" s="13"/>
      <c r="N171" s="13"/>
      <c r="O171" s="13"/>
      <c r="P171" s="13"/>
      <c r="Q171" s="13"/>
      <c r="R171" s="13"/>
      <c r="S171" s="13"/>
      <c r="T171" s="13"/>
      <c r="U171" s="13"/>
      <c r="V171" s="13"/>
      <c r="W171" s="13"/>
      <c r="X171" s="13"/>
      <c r="Y171" s="13"/>
      <c r="Z171" s="13"/>
    </row>
    <row r="172">
      <c r="A172" s="12"/>
      <c r="B172" s="12"/>
      <c r="C172" s="12"/>
      <c r="D172" s="12"/>
      <c r="E172" s="12"/>
      <c r="F172" s="12"/>
      <c r="G172" s="13"/>
      <c r="H172" s="13"/>
      <c r="I172" s="13"/>
      <c r="J172" s="13"/>
      <c r="K172" s="13"/>
      <c r="L172" s="13"/>
      <c r="M172" s="13"/>
      <c r="N172" s="13"/>
      <c r="O172" s="13"/>
      <c r="P172" s="13"/>
      <c r="Q172" s="13"/>
      <c r="R172" s="13"/>
      <c r="S172" s="13"/>
      <c r="T172" s="13"/>
      <c r="U172" s="13"/>
      <c r="V172" s="13"/>
      <c r="W172" s="13"/>
      <c r="X172" s="13"/>
      <c r="Y172" s="13"/>
      <c r="Z172" s="13"/>
    </row>
    <row r="173">
      <c r="A173" s="12"/>
      <c r="B173" s="12"/>
      <c r="C173" s="12"/>
      <c r="D173" s="12"/>
      <c r="E173" s="12"/>
      <c r="F173" s="12"/>
      <c r="G173" s="13"/>
      <c r="H173" s="13"/>
      <c r="I173" s="13"/>
      <c r="J173" s="13"/>
      <c r="K173" s="13"/>
      <c r="L173" s="13"/>
      <c r="M173" s="13"/>
      <c r="N173" s="13"/>
      <c r="O173" s="13"/>
      <c r="P173" s="13"/>
      <c r="Q173" s="13"/>
      <c r="R173" s="13"/>
      <c r="S173" s="13"/>
      <c r="T173" s="13"/>
      <c r="U173" s="13"/>
      <c r="V173" s="13"/>
      <c r="W173" s="13"/>
      <c r="X173" s="13"/>
      <c r="Y173" s="13"/>
      <c r="Z173" s="13"/>
    </row>
    <row r="174">
      <c r="A174" s="12"/>
      <c r="B174" s="12"/>
      <c r="C174" s="12"/>
      <c r="D174" s="12"/>
      <c r="E174" s="12"/>
      <c r="F174" s="12"/>
      <c r="G174" s="13"/>
      <c r="H174" s="13"/>
      <c r="I174" s="13"/>
      <c r="J174" s="13"/>
      <c r="K174" s="13"/>
      <c r="L174" s="13"/>
      <c r="M174" s="13"/>
      <c r="N174" s="13"/>
      <c r="O174" s="13"/>
      <c r="P174" s="13"/>
      <c r="Q174" s="13"/>
      <c r="R174" s="13"/>
      <c r="S174" s="13"/>
      <c r="T174" s="13"/>
      <c r="U174" s="13"/>
      <c r="V174" s="13"/>
      <c r="W174" s="13"/>
      <c r="X174" s="13"/>
      <c r="Y174" s="13"/>
      <c r="Z174" s="13"/>
    </row>
    <row r="175">
      <c r="A175" s="12"/>
      <c r="B175" s="12"/>
      <c r="C175" s="12"/>
      <c r="D175" s="12"/>
      <c r="E175" s="12"/>
      <c r="F175" s="12"/>
      <c r="G175" s="13"/>
      <c r="H175" s="13"/>
      <c r="I175" s="13"/>
      <c r="J175" s="13"/>
      <c r="K175" s="13"/>
      <c r="L175" s="13"/>
      <c r="M175" s="13"/>
      <c r="N175" s="13"/>
      <c r="O175" s="13"/>
      <c r="P175" s="13"/>
      <c r="Q175" s="13"/>
      <c r="R175" s="13"/>
      <c r="S175" s="13"/>
      <c r="T175" s="13"/>
      <c r="U175" s="13"/>
      <c r="V175" s="13"/>
      <c r="W175" s="13"/>
      <c r="X175" s="13"/>
      <c r="Y175" s="13"/>
      <c r="Z175" s="13"/>
    </row>
    <row r="176">
      <c r="A176" s="12"/>
      <c r="B176" s="12"/>
      <c r="C176" s="12"/>
      <c r="D176" s="12"/>
      <c r="E176" s="12"/>
      <c r="F176" s="12"/>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26">
    <mergeCell ref="A3:K3"/>
    <mergeCell ref="A5:C5"/>
    <mergeCell ref="A6:C6"/>
    <mergeCell ref="A7:C7"/>
    <mergeCell ref="A8:C8"/>
    <mergeCell ref="A9:C19"/>
    <mergeCell ref="A20:C20"/>
    <mergeCell ref="A21:C23"/>
    <mergeCell ref="A24:C24"/>
    <mergeCell ref="A25:C28"/>
    <mergeCell ref="A29:C29"/>
    <mergeCell ref="A30:C30"/>
    <mergeCell ref="D30:F30"/>
    <mergeCell ref="A31:C31"/>
    <mergeCell ref="A99:B99"/>
    <mergeCell ref="A100:B100"/>
    <mergeCell ref="A104:B104"/>
    <mergeCell ref="A108:B108"/>
    <mergeCell ref="A112:B112"/>
    <mergeCell ref="A32:C35"/>
    <mergeCell ref="D36:E36"/>
    <mergeCell ref="A43:E43"/>
    <mergeCell ref="A56:E56"/>
    <mergeCell ref="A68:D68"/>
    <mergeCell ref="A69:D69"/>
    <mergeCell ref="A97:E97"/>
  </mergeCells>
  <hyperlinks>
    <hyperlink r:id="rId1" ref="A3"/>
    <hyperlink r:id="rId2" ref="H40"/>
    <hyperlink r:id="rId3" ref="H41"/>
    <hyperlink r:id="rId4" ref="B74"/>
    <hyperlink r:id="rId5" ref="C74"/>
    <hyperlink r:id="rId6" ref="B79"/>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1.38"/>
    <col customWidth="1" min="2" max="2" width="36.13"/>
    <col customWidth="1" min="3" max="3" width="32.88"/>
    <col customWidth="1" min="4" max="4" width="27.13"/>
  </cols>
  <sheetData>
    <row r="1">
      <c r="A1" s="10" t="s">
        <v>11</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10" t="s">
        <v>13</v>
      </c>
      <c r="B3" s="3"/>
      <c r="C3" s="3"/>
      <c r="D3" s="3"/>
      <c r="E3" s="3"/>
      <c r="F3" s="3"/>
      <c r="G3" s="3"/>
      <c r="H3" s="3"/>
      <c r="I3" s="3"/>
      <c r="J3" s="3"/>
      <c r="K3" s="3"/>
      <c r="L3" s="3"/>
      <c r="M3" s="3"/>
      <c r="N3" s="3"/>
      <c r="O3" s="3"/>
      <c r="P3" s="3"/>
      <c r="Q3" s="3"/>
      <c r="R3" s="3"/>
      <c r="S3" s="3"/>
      <c r="T3" s="3"/>
      <c r="U3" s="3"/>
      <c r="V3" s="3"/>
      <c r="W3" s="3"/>
      <c r="X3" s="3"/>
      <c r="Y3" s="3"/>
      <c r="Z3" s="3"/>
    </row>
    <row r="4">
      <c r="A4" s="14" t="s">
        <v>16</v>
      </c>
      <c r="B4" s="7" t="s">
        <v>18</v>
      </c>
      <c r="C4" s="3"/>
      <c r="D4" s="3"/>
      <c r="E4" s="3"/>
      <c r="F4" s="3"/>
      <c r="G4" s="3"/>
      <c r="H4" s="3"/>
      <c r="I4" s="3"/>
      <c r="J4" s="3"/>
      <c r="K4" s="3"/>
      <c r="L4" s="3"/>
      <c r="M4" s="3"/>
      <c r="N4" s="3"/>
      <c r="O4" s="3"/>
      <c r="P4" s="3"/>
      <c r="Q4" s="3"/>
      <c r="R4" s="3"/>
      <c r="S4" s="3"/>
      <c r="T4" s="3"/>
      <c r="U4" s="3"/>
      <c r="V4" s="3"/>
      <c r="W4" s="3"/>
      <c r="X4" s="3"/>
      <c r="Y4" s="3"/>
      <c r="Z4" s="3"/>
    </row>
    <row r="5">
      <c r="A5" s="14" t="s">
        <v>23</v>
      </c>
      <c r="B5" s="7" t="s">
        <v>24</v>
      </c>
      <c r="C5" s="3"/>
      <c r="D5" s="3"/>
      <c r="E5" s="3"/>
      <c r="F5" s="3"/>
      <c r="G5" s="3"/>
      <c r="H5" s="3"/>
      <c r="I5" s="3"/>
      <c r="J5" s="3"/>
      <c r="K5" s="3"/>
      <c r="L5" s="3"/>
      <c r="M5" s="3"/>
      <c r="N5" s="3"/>
      <c r="O5" s="3"/>
      <c r="P5" s="3"/>
      <c r="Q5" s="3"/>
      <c r="R5" s="3"/>
      <c r="S5" s="3"/>
      <c r="T5" s="3"/>
      <c r="U5" s="3"/>
      <c r="V5" s="3"/>
      <c r="W5" s="3"/>
      <c r="X5" s="3"/>
      <c r="Y5" s="3"/>
      <c r="Z5" s="3"/>
    </row>
    <row r="6">
      <c r="A6" s="14" t="s">
        <v>35</v>
      </c>
      <c r="B6" s="7" t="s">
        <v>39</v>
      </c>
      <c r="C6" s="3"/>
      <c r="D6" s="3"/>
      <c r="E6" s="3"/>
      <c r="F6" s="3"/>
      <c r="G6" s="3"/>
      <c r="H6" s="3"/>
      <c r="I6" s="3"/>
      <c r="J6" s="3"/>
      <c r="K6" s="3"/>
      <c r="L6" s="3"/>
      <c r="M6" s="3"/>
      <c r="N6" s="3"/>
      <c r="O6" s="3"/>
      <c r="P6" s="3"/>
      <c r="Q6" s="3"/>
      <c r="R6" s="3"/>
      <c r="S6" s="3"/>
      <c r="T6" s="3"/>
      <c r="U6" s="3"/>
      <c r="V6" s="3"/>
      <c r="W6" s="3"/>
      <c r="X6" s="3"/>
      <c r="Y6" s="3"/>
      <c r="Z6" s="3"/>
    </row>
    <row r="7">
      <c r="A7" s="14" t="s">
        <v>51</v>
      </c>
      <c r="B7" s="7" t="s">
        <v>52</v>
      </c>
      <c r="C7" s="3"/>
      <c r="D7" s="3"/>
      <c r="E7" s="3"/>
      <c r="F7" s="3"/>
      <c r="G7" s="3"/>
      <c r="H7" s="3"/>
      <c r="I7" s="3"/>
      <c r="J7" s="3"/>
      <c r="K7" s="3"/>
      <c r="L7" s="3"/>
      <c r="M7" s="3"/>
      <c r="N7" s="3"/>
      <c r="O7" s="3"/>
      <c r="P7" s="3"/>
      <c r="Q7" s="3"/>
      <c r="R7" s="3"/>
      <c r="S7" s="3"/>
      <c r="T7" s="3"/>
      <c r="U7" s="3"/>
      <c r="V7" s="3"/>
      <c r="W7" s="3"/>
      <c r="X7" s="3"/>
      <c r="Y7" s="3"/>
      <c r="Z7" s="3"/>
    </row>
    <row r="8">
      <c r="A8" s="14" t="s">
        <v>76</v>
      </c>
      <c r="B8" s="7" t="s">
        <v>78</v>
      </c>
      <c r="C8" s="3"/>
      <c r="D8" s="3"/>
      <c r="E8" s="3"/>
      <c r="F8" s="3"/>
      <c r="G8" s="3"/>
      <c r="H8" s="3"/>
      <c r="I8" s="3"/>
      <c r="J8" s="3"/>
      <c r="K8" s="3"/>
      <c r="L8" s="3"/>
      <c r="M8" s="3"/>
      <c r="N8" s="3"/>
      <c r="O8" s="3"/>
      <c r="P8" s="3"/>
      <c r="Q8" s="3"/>
      <c r="R8" s="3"/>
      <c r="S8" s="3"/>
      <c r="T8" s="3"/>
      <c r="U8" s="3"/>
      <c r="V8" s="3"/>
      <c r="W8" s="3"/>
      <c r="X8" s="3"/>
      <c r="Y8" s="3"/>
      <c r="Z8" s="3"/>
    </row>
    <row r="9">
      <c r="A9" s="14" t="s">
        <v>102</v>
      </c>
      <c r="B9" s="7" t="s">
        <v>105</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45"/>
      <c r="B11" s="3"/>
      <c r="C11" s="3"/>
      <c r="D11" s="3"/>
      <c r="E11" s="3"/>
      <c r="F11" s="3"/>
      <c r="G11" s="3"/>
      <c r="H11" s="3"/>
      <c r="I11" s="3"/>
      <c r="J11" s="3"/>
      <c r="K11" s="3"/>
      <c r="L11" s="3"/>
      <c r="M11" s="3"/>
      <c r="N11" s="3"/>
      <c r="O11" s="3"/>
      <c r="P11" s="3"/>
      <c r="Q11" s="3"/>
      <c r="R11" s="3"/>
      <c r="S11" s="3"/>
      <c r="T11" s="3"/>
      <c r="U11" s="3"/>
      <c r="V11" s="3"/>
      <c r="W11" s="3"/>
      <c r="X11" s="3"/>
      <c r="Y11" s="3"/>
      <c r="Z11" s="3"/>
    </row>
    <row r="12">
      <c r="A12" s="45"/>
      <c r="B12" s="3"/>
      <c r="C12" s="3"/>
      <c r="D12" s="3"/>
      <c r="E12" s="3"/>
      <c r="F12" s="3"/>
      <c r="G12" s="3"/>
      <c r="H12" s="3"/>
      <c r="I12" s="3"/>
      <c r="J12" s="3"/>
      <c r="K12" s="3"/>
      <c r="L12" s="3"/>
      <c r="M12" s="3"/>
      <c r="N12" s="3"/>
      <c r="O12" s="3"/>
      <c r="P12" s="3"/>
      <c r="Q12" s="3"/>
      <c r="R12" s="3"/>
      <c r="S12" s="3"/>
      <c r="T12" s="3"/>
      <c r="U12" s="3"/>
      <c r="V12" s="3"/>
      <c r="W12" s="3"/>
      <c r="X12" s="3"/>
      <c r="Y12" s="3"/>
      <c r="Z12" s="3"/>
    </row>
    <row r="13">
      <c r="A13" s="45"/>
      <c r="B13" s="3"/>
      <c r="C13" s="3"/>
      <c r="D13" s="3"/>
      <c r="E13" s="3"/>
      <c r="F13" s="3"/>
      <c r="G13" s="3"/>
      <c r="H13" s="3"/>
      <c r="I13" s="3"/>
      <c r="J13" s="3"/>
      <c r="K13" s="3"/>
      <c r="L13" s="3"/>
      <c r="M13" s="3"/>
      <c r="N13" s="3"/>
      <c r="O13" s="3"/>
      <c r="P13" s="3"/>
      <c r="Q13" s="3"/>
      <c r="R13" s="3"/>
      <c r="S13" s="3"/>
      <c r="T13" s="3"/>
      <c r="U13" s="3"/>
      <c r="V13" s="3"/>
      <c r="W13" s="3"/>
      <c r="X13" s="3"/>
      <c r="Y13" s="3"/>
      <c r="Z13" s="3"/>
    </row>
    <row r="14">
      <c r="A14" s="51"/>
      <c r="B14" s="3"/>
      <c r="C14" s="3"/>
      <c r="D14" s="3"/>
      <c r="E14" s="3"/>
      <c r="F14" s="3"/>
      <c r="G14" s="3"/>
      <c r="H14" s="3"/>
      <c r="I14" s="3"/>
      <c r="J14" s="3"/>
      <c r="K14" s="3"/>
      <c r="L14" s="3"/>
      <c r="M14" s="3"/>
      <c r="N14" s="3"/>
      <c r="O14" s="3"/>
      <c r="P14" s="3"/>
      <c r="Q14" s="3"/>
      <c r="R14" s="3"/>
      <c r="S14" s="3"/>
      <c r="T14" s="3"/>
      <c r="U14" s="3"/>
      <c r="V14" s="3"/>
      <c r="W14" s="3"/>
      <c r="X14" s="3"/>
      <c r="Y14" s="3"/>
      <c r="Z14" s="3"/>
    </row>
    <row r="15">
      <c r="A15" s="45"/>
      <c r="B15" s="3"/>
      <c r="C15" s="3"/>
      <c r="D15" s="3"/>
      <c r="E15" s="3"/>
      <c r="F15" s="3"/>
      <c r="G15" s="3"/>
      <c r="H15" s="3"/>
      <c r="I15" s="3"/>
      <c r="J15" s="3"/>
      <c r="K15" s="3"/>
      <c r="L15" s="3"/>
      <c r="M15" s="3"/>
      <c r="N15" s="3"/>
      <c r="O15" s="3"/>
      <c r="P15" s="3"/>
      <c r="Q15" s="3"/>
      <c r="R15" s="3"/>
      <c r="S15" s="3"/>
      <c r="T15" s="3"/>
      <c r="U15" s="3"/>
      <c r="V15" s="3"/>
      <c r="W15" s="3"/>
      <c r="X15" s="3"/>
      <c r="Y15" s="3"/>
      <c r="Z15" s="3"/>
    </row>
    <row r="16">
      <c r="A16" s="45"/>
      <c r="B16" s="3"/>
      <c r="C16" s="3"/>
      <c r="D16" s="3"/>
      <c r="E16" s="3"/>
      <c r="F16" s="3"/>
      <c r="G16" s="3"/>
      <c r="H16" s="3"/>
      <c r="I16" s="3"/>
      <c r="J16" s="3"/>
      <c r="K16" s="3"/>
      <c r="L16" s="3"/>
      <c r="M16" s="3"/>
      <c r="N16" s="3"/>
      <c r="O16" s="3"/>
      <c r="P16" s="3"/>
      <c r="Q16" s="3"/>
      <c r="R16" s="3"/>
      <c r="S16" s="3"/>
      <c r="T16" s="3"/>
      <c r="U16" s="3"/>
      <c r="V16" s="3"/>
      <c r="W16" s="3"/>
      <c r="X16" s="3"/>
      <c r="Y16" s="3"/>
      <c r="Z16" s="3"/>
    </row>
    <row r="17">
      <c r="A17" s="45"/>
      <c r="B17" s="3"/>
      <c r="C17" s="3"/>
      <c r="D17" s="3"/>
      <c r="E17" s="3"/>
      <c r="F17" s="3"/>
      <c r="G17" s="3"/>
      <c r="H17" s="3"/>
      <c r="I17" s="3"/>
      <c r="J17" s="3"/>
      <c r="K17" s="3"/>
      <c r="L17" s="3"/>
      <c r="M17" s="3"/>
      <c r="N17" s="3"/>
      <c r="O17" s="3"/>
      <c r="P17" s="3"/>
      <c r="Q17" s="3"/>
      <c r="R17" s="3"/>
      <c r="S17" s="3"/>
      <c r="T17" s="3"/>
      <c r="U17" s="3"/>
      <c r="V17" s="3"/>
      <c r="W17" s="3"/>
      <c r="X17" s="3"/>
      <c r="Y17" s="3"/>
      <c r="Z17" s="3"/>
    </row>
    <row r="18">
      <c r="A18" s="45"/>
      <c r="B18" s="3"/>
      <c r="C18" s="3"/>
      <c r="D18" s="3"/>
      <c r="E18" s="3"/>
      <c r="F18" s="3"/>
      <c r="G18" s="3"/>
      <c r="H18" s="3"/>
      <c r="I18" s="3"/>
      <c r="J18" s="3"/>
      <c r="K18" s="3"/>
      <c r="L18" s="3"/>
      <c r="M18" s="3"/>
      <c r="N18" s="3"/>
      <c r="O18" s="3"/>
      <c r="P18" s="3"/>
      <c r="Q18" s="3"/>
      <c r="R18" s="3"/>
      <c r="S18" s="3"/>
      <c r="T18" s="3"/>
      <c r="U18" s="3"/>
      <c r="V18" s="3"/>
      <c r="W18" s="3"/>
      <c r="X18" s="3"/>
      <c r="Y18" s="3"/>
      <c r="Z18" s="3"/>
    </row>
    <row r="19">
      <c r="A19" s="45"/>
      <c r="B19" s="3"/>
      <c r="C19" s="3"/>
      <c r="D19" s="3"/>
      <c r="E19" s="3"/>
      <c r="F19" s="3"/>
      <c r="G19" s="3"/>
      <c r="H19" s="3"/>
      <c r="I19" s="3"/>
      <c r="J19" s="3"/>
      <c r="K19" s="3"/>
      <c r="L19" s="3"/>
      <c r="M19" s="3"/>
      <c r="N19" s="3"/>
      <c r="O19" s="3"/>
      <c r="P19" s="3"/>
      <c r="Q19" s="3"/>
      <c r="R19" s="3"/>
      <c r="S19" s="3"/>
      <c r="T19" s="3"/>
      <c r="U19" s="3"/>
      <c r="V19" s="3"/>
      <c r="W19" s="3"/>
      <c r="X19" s="3"/>
      <c r="Y19" s="3"/>
      <c r="Z19" s="3"/>
    </row>
    <row r="20">
      <c r="A20" s="45"/>
      <c r="B20" s="3"/>
      <c r="C20" s="3"/>
      <c r="D20" s="3"/>
      <c r="E20" s="3"/>
      <c r="F20" s="3"/>
      <c r="G20" s="3"/>
      <c r="H20" s="3"/>
      <c r="I20" s="3"/>
      <c r="J20" s="3"/>
      <c r="K20" s="3"/>
      <c r="L20" s="3"/>
      <c r="M20" s="3"/>
      <c r="N20" s="3"/>
      <c r="O20" s="3"/>
      <c r="P20" s="3"/>
      <c r="Q20" s="3"/>
      <c r="R20" s="3"/>
      <c r="S20" s="3"/>
      <c r="T20" s="3"/>
      <c r="U20" s="3"/>
      <c r="V20" s="3"/>
      <c r="W20" s="3"/>
      <c r="X20" s="3"/>
      <c r="Y20" s="3"/>
      <c r="Z20" s="3"/>
    </row>
    <row r="21">
      <c r="A21" s="51"/>
      <c r="B21" s="3"/>
      <c r="C21" s="3"/>
      <c r="D21" s="3"/>
      <c r="E21" s="3"/>
      <c r="F21" s="3"/>
      <c r="G21" s="3"/>
      <c r="H21" s="3"/>
      <c r="I21" s="3"/>
      <c r="J21" s="3"/>
      <c r="K21" s="3"/>
      <c r="L21" s="3"/>
      <c r="M21" s="3"/>
      <c r="N21" s="3"/>
      <c r="O21" s="3"/>
      <c r="P21" s="3"/>
      <c r="Q21" s="3"/>
      <c r="R21" s="3"/>
      <c r="S21" s="3"/>
      <c r="T21" s="3"/>
      <c r="U21" s="3"/>
      <c r="V21" s="3"/>
      <c r="W21" s="3"/>
      <c r="X21" s="3"/>
      <c r="Y21" s="3"/>
      <c r="Z21" s="3"/>
    </row>
    <row r="22">
      <c r="A22" s="45"/>
      <c r="B22" s="3"/>
      <c r="C22" s="3"/>
      <c r="D22" s="3"/>
      <c r="E22" s="3"/>
      <c r="F22" s="3"/>
      <c r="G22" s="3"/>
      <c r="H22" s="3"/>
      <c r="I22" s="3"/>
      <c r="J22" s="3"/>
      <c r="K22" s="3"/>
      <c r="L22" s="3"/>
      <c r="M22" s="3"/>
      <c r="N22" s="3"/>
      <c r="O22" s="3"/>
      <c r="P22" s="3"/>
      <c r="Q22" s="3"/>
      <c r="R22" s="3"/>
      <c r="S22" s="3"/>
      <c r="T22" s="3"/>
      <c r="U22" s="3"/>
      <c r="V22" s="3"/>
      <c r="W22" s="3"/>
      <c r="X22" s="3"/>
      <c r="Y22" s="3"/>
      <c r="Z22" s="3"/>
    </row>
    <row r="23">
      <c r="A23" s="45"/>
      <c r="B23" s="3"/>
      <c r="C23" s="3"/>
      <c r="D23" s="3"/>
      <c r="E23" s="3"/>
      <c r="F23" s="3"/>
      <c r="G23" s="3"/>
      <c r="H23" s="3"/>
      <c r="I23" s="3"/>
      <c r="J23" s="3"/>
      <c r="K23" s="3"/>
      <c r="L23" s="3"/>
      <c r="M23" s="3"/>
      <c r="N23" s="3"/>
      <c r="O23" s="3"/>
      <c r="P23" s="3"/>
      <c r="Q23" s="3"/>
      <c r="R23" s="3"/>
      <c r="S23" s="3"/>
      <c r="T23" s="3"/>
      <c r="U23" s="3"/>
      <c r="V23" s="3"/>
      <c r="W23" s="3"/>
      <c r="X23" s="3"/>
      <c r="Y23" s="3"/>
      <c r="Z23" s="3"/>
    </row>
    <row r="24">
      <c r="A24" s="45"/>
      <c r="B24" s="3"/>
      <c r="C24" s="3"/>
      <c r="D24" s="3"/>
      <c r="E24" s="3"/>
      <c r="F24" s="3"/>
      <c r="G24" s="3"/>
      <c r="H24" s="3"/>
      <c r="I24" s="3"/>
      <c r="J24" s="3"/>
      <c r="K24" s="3"/>
      <c r="L24" s="3"/>
      <c r="M24" s="3"/>
      <c r="N24" s="3"/>
      <c r="O24" s="3"/>
      <c r="P24" s="3"/>
      <c r="Q24" s="3"/>
      <c r="R24" s="3"/>
      <c r="S24" s="3"/>
      <c r="T24" s="3"/>
      <c r="U24" s="3"/>
      <c r="V24" s="3"/>
      <c r="W24" s="3"/>
      <c r="X24" s="3"/>
      <c r="Y24" s="3"/>
      <c r="Z24" s="3"/>
    </row>
    <row r="25">
      <c r="A25" s="45"/>
      <c r="B25" s="3"/>
      <c r="C25" s="3"/>
      <c r="D25" s="3"/>
      <c r="E25" s="3"/>
      <c r="F25" s="3"/>
      <c r="G25" s="3"/>
      <c r="H25" s="3"/>
      <c r="I25" s="3"/>
      <c r="J25" s="3"/>
      <c r="K25" s="3"/>
      <c r="L25" s="3"/>
      <c r="M25" s="3"/>
      <c r="N25" s="3"/>
      <c r="O25" s="3"/>
      <c r="P25" s="3"/>
      <c r="Q25" s="3"/>
      <c r="R25" s="3"/>
      <c r="S25" s="3"/>
      <c r="T25" s="3"/>
      <c r="U25" s="3"/>
      <c r="V25" s="3"/>
      <c r="W25" s="3"/>
      <c r="X25" s="3"/>
      <c r="Y25" s="3"/>
      <c r="Z25" s="3"/>
    </row>
    <row r="26">
      <c r="A26" s="45"/>
      <c r="B26" s="3"/>
      <c r="C26" s="3"/>
      <c r="D26" s="3"/>
      <c r="E26" s="3"/>
      <c r="F26" s="3"/>
      <c r="G26" s="3"/>
      <c r="H26" s="3"/>
      <c r="I26" s="3"/>
      <c r="J26" s="3"/>
      <c r="K26" s="3"/>
      <c r="L26" s="3"/>
      <c r="M26" s="3"/>
      <c r="N26" s="3"/>
      <c r="O26" s="3"/>
      <c r="P26" s="3"/>
      <c r="Q26" s="3"/>
      <c r="R26" s="3"/>
      <c r="S26" s="3"/>
      <c r="T26" s="3"/>
      <c r="U26" s="3"/>
      <c r="V26" s="3"/>
      <c r="W26" s="3"/>
      <c r="X26" s="3"/>
      <c r="Y26" s="3"/>
      <c r="Z26" s="3"/>
    </row>
    <row r="27">
      <c r="A27" s="51"/>
      <c r="B27" s="3"/>
      <c r="C27" s="3"/>
      <c r="D27" s="3"/>
      <c r="E27" s="3"/>
      <c r="F27" s="3"/>
      <c r="G27" s="3"/>
      <c r="H27" s="3"/>
      <c r="I27" s="3"/>
      <c r="J27" s="3"/>
      <c r="K27" s="3"/>
      <c r="L27" s="3"/>
      <c r="M27" s="3"/>
      <c r="N27" s="3"/>
      <c r="O27" s="3"/>
      <c r="P27" s="3"/>
      <c r="Q27" s="3"/>
      <c r="R27" s="3"/>
      <c r="S27" s="3"/>
      <c r="T27" s="3"/>
      <c r="U27" s="3"/>
      <c r="V27" s="3"/>
      <c r="W27" s="3"/>
      <c r="X27" s="3"/>
      <c r="Y27" s="3"/>
      <c r="Z27" s="3"/>
    </row>
    <row r="28">
      <c r="A28" s="45"/>
      <c r="B28" s="3"/>
      <c r="C28" s="3"/>
      <c r="D28" s="3"/>
      <c r="E28" s="3"/>
      <c r="F28" s="3"/>
      <c r="G28" s="3"/>
      <c r="H28" s="3"/>
      <c r="I28" s="3"/>
      <c r="J28" s="3"/>
      <c r="K28" s="3"/>
      <c r="L28" s="3"/>
      <c r="M28" s="3"/>
      <c r="N28" s="3"/>
      <c r="O28" s="3"/>
      <c r="P28" s="3"/>
      <c r="Q28" s="3"/>
      <c r="R28" s="3"/>
      <c r="S28" s="3"/>
      <c r="T28" s="3"/>
      <c r="U28" s="3"/>
      <c r="V28" s="3"/>
      <c r="W28" s="3"/>
      <c r="X28" s="3"/>
      <c r="Y28" s="3"/>
      <c r="Z28" s="3"/>
    </row>
    <row r="29">
      <c r="A29" s="45"/>
      <c r="B29" s="3"/>
      <c r="C29" s="3"/>
      <c r="D29" s="3"/>
      <c r="E29" s="3"/>
      <c r="F29" s="3"/>
      <c r="G29" s="3"/>
      <c r="H29" s="3"/>
      <c r="I29" s="3"/>
      <c r="J29" s="3"/>
      <c r="K29" s="3"/>
      <c r="L29" s="3"/>
      <c r="M29" s="3"/>
      <c r="N29" s="3"/>
      <c r="O29" s="3"/>
      <c r="P29" s="3"/>
      <c r="Q29" s="3"/>
      <c r="R29" s="3"/>
      <c r="S29" s="3"/>
      <c r="T29" s="3"/>
      <c r="U29" s="3"/>
      <c r="V29" s="3"/>
      <c r="W29" s="3"/>
      <c r="X29" s="3"/>
      <c r="Y29" s="3"/>
      <c r="Z29" s="3"/>
    </row>
    <row r="30">
      <c r="A30" s="45"/>
      <c r="B30" s="3"/>
      <c r="C30" s="3"/>
      <c r="D30" s="3"/>
      <c r="E30" s="3"/>
      <c r="F30" s="3"/>
      <c r="G30" s="3"/>
      <c r="H30" s="3"/>
      <c r="I30" s="3"/>
      <c r="J30" s="3"/>
      <c r="K30" s="3"/>
      <c r="L30" s="3"/>
      <c r="M30" s="3"/>
      <c r="N30" s="3"/>
      <c r="O30" s="3"/>
      <c r="P30" s="3"/>
      <c r="Q30" s="3"/>
      <c r="R30" s="3"/>
      <c r="S30" s="3"/>
      <c r="T30" s="3"/>
      <c r="U30" s="3"/>
      <c r="V30" s="3"/>
      <c r="W30" s="3"/>
      <c r="X30" s="3"/>
      <c r="Y30" s="3"/>
      <c r="Z30" s="3"/>
    </row>
    <row r="31">
      <c r="A31" s="45"/>
      <c r="B31" s="3"/>
      <c r="C31" s="3"/>
      <c r="D31" s="3"/>
      <c r="E31" s="3"/>
      <c r="F31" s="3"/>
      <c r="G31" s="3"/>
      <c r="H31" s="3"/>
      <c r="I31" s="3"/>
      <c r="J31" s="3"/>
      <c r="K31" s="3"/>
      <c r="L31" s="3"/>
      <c r="M31" s="3"/>
      <c r="N31" s="3"/>
      <c r="O31" s="3"/>
      <c r="P31" s="3"/>
      <c r="Q31" s="3"/>
      <c r="R31" s="3"/>
      <c r="S31" s="3"/>
      <c r="T31" s="3"/>
      <c r="U31" s="3"/>
      <c r="V31" s="3"/>
      <c r="W31" s="3"/>
      <c r="X31" s="3"/>
      <c r="Y31" s="3"/>
      <c r="Z31" s="3"/>
    </row>
    <row r="32">
      <c r="A32" s="45"/>
      <c r="B32" s="3"/>
      <c r="C32" s="3"/>
      <c r="D32" s="3"/>
      <c r="E32" s="3"/>
      <c r="F32" s="3"/>
      <c r="G32" s="3"/>
      <c r="H32" s="3"/>
      <c r="I32" s="3"/>
      <c r="J32" s="3"/>
      <c r="K32" s="3"/>
      <c r="L32" s="3"/>
      <c r="M32" s="3"/>
      <c r="N32" s="3"/>
      <c r="O32" s="3"/>
      <c r="P32" s="3"/>
      <c r="Q32" s="3"/>
      <c r="R32" s="3"/>
      <c r="S32" s="3"/>
      <c r="T32" s="3"/>
      <c r="U32" s="3"/>
      <c r="V32" s="3"/>
      <c r="W32" s="3"/>
      <c r="X32" s="3"/>
      <c r="Y32" s="3"/>
      <c r="Z32" s="3"/>
    </row>
    <row r="33">
      <c r="A33" s="45"/>
      <c r="B33" s="3"/>
      <c r="C33" s="3"/>
      <c r="D33" s="3"/>
      <c r="E33" s="3"/>
      <c r="F33" s="3"/>
      <c r="G33" s="3"/>
      <c r="H33" s="3"/>
      <c r="I33" s="3"/>
      <c r="J33" s="3"/>
      <c r="K33" s="3"/>
      <c r="L33" s="3"/>
      <c r="M33" s="3"/>
      <c r="N33" s="3"/>
      <c r="O33" s="3"/>
      <c r="P33" s="3"/>
      <c r="Q33" s="3"/>
      <c r="R33" s="3"/>
      <c r="S33" s="3"/>
      <c r="T33" s="3"/>
      <c r="U33" s="3"/>
      <c r="V33" s="3"/>
      <c r="W33" s="3"/>
      <c r="X33" s="3"/>
      <c r="Y33" s="3"/>
      <c r="Z33" s="3"/>
    </row>
    <row r="34">
      <c r="A34" s="45"/>
      <c r="B34" s="3"/>
      <c r="C34" s="3"/>
      <c r="D34" s="3"/>
      <c r="E34" s="3"/>
      <c r="F34" s="3"/>
      <c r="G34" s="3"/>
      <c r="H34" s="3"/>
      <c r="I34" s="3"/>
      <c r="J34" s="3"/>
      <c r="K34" s="3"/>
      <c r="L34" s="3"/>
      <c r="M34" s="3"/>
      <c r="N34" s="3"/>
      <c r="O34" s="3"/>
      <c r="P34" s="3"/>
      <c r="Q34" s="3"/>
      <c r="R34" s="3"/>
      <c r="S34" s="3"/>
      <c r="T34" s="3"/>
      <c r="U34" s="3"/>
      <c r="V34" s="3"/>
      <c r="W34" s="3"/>
      <c r="X34" s="3"/>
      <c r="Y34" s="3"/>
      <c r="Z34" s="3"/>
    </row>
    <row r="35">
      <c r="A35" s="45"/>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sheetData>
  <hyperlinks>
    <hyperlink r:id="rId1" location="gid=1893715749" ref="B4"/>
    <hyperlink r:id="rId2" location="gid=500236260" ref="B5"/>
    <hyperlink r:id="rId3" location="gid=794050223" ref="B6"/>
    <hyperlink r:id="rId4" location="gid=1594086878" ref="B7"/>
    <hyperlink r:id="rId5" location="gid=950321932" ref="B8"/>
    <hyperlink r:id="rId6" location="gid=519151021" ref="B9"/>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7.5"/>
    <col customWidth="1" min="2" max="2" width="38.75"/>
    <col customWidth="1" min="3" max="3" width="29.25"/>
    <col customWidth="1" min="4" max="4" width="25.0"/>
    <col customWidth="1" min="5" max="5" width="20.0"/>
  </cols>
  <sheetData>
    <row r="1">
      <c r="A1" s="10" t="s">
        <v>594</v>
      </c>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row>
    <row r="3">
      <c r="A3" s="10" t="s">
        <v>170</v>
      </c>
      <c r="B3" s="13"/>
      <c r="C3" s="13"/>
      <c r="D3" s="13"/>
      <c r="E3" s="13"/>
      <c r="F3" s="13"/>
      <c r="G3" s="13"/>
      <c r="H3" s="13"/>
      <c r="I3" s="13"/>
      <c r="J3" s="13"/>
      <c r="K3" s="13"/>
      <c r="L3" s="13"/>
      <c r="M3" s="13"/>
      <c r="N3" s="13"/>
      <c r="O3" s="13"/>
      <c r="P3" s="13"/>
      <c r="Q3" s="13"/>
      <c r="R3" s="13"/>
      <c r="S3" s="13"/>
      <c r="T3" s="13"/>
      <c r="U3" s="13"/>
      <c r="V3" s="13"/>
      <c r="W3" s="13"/>
      <c r="X3" s="13"/>
      <c r="Y3" s="13"/>
      <c r="Z3" s="13"/>
      <c r="AA3" s="13"/>
      <c r="AB3" s="13"/>
    </row>
    <row r="4">
      <c r="A4" s="150" t="s">
        <v>595</v>
      </c>
      <c r="B4" s="13"/>
      <c r="C4" s="13"/>
      <c r="D4" s="13"/>
      <c r="E4" s="13"/>
      <c r="F4" s="13"/>
      <c r="G4" s="13"/>
      <c r="H4" s="13"/>
      <c r="I4" s="13"/>
      <c r="J4" s="13"/>
      <c r="K4" s="13"/>
      <c r="L4" s="13"/>
      <c r="M4" s="13"/>
      <c r="N4" s="13"/>
      <c r="O4" s="13"/>
      <c r="P4" s="13"/>
      <c r="Q4" s="13"/>
      <c r="R4" s="13"/>
      <c r="S4" s="13"/>
      <c r="T4" s="13"/>
      <c r="U4" s="13"/>
      <c r="V4" s="13"/>
      <c r="W4" s="13"/>
      <c r="X4" s="13"/>
      <c r="Y4" s="13"/>
      <c r="Z4" s="13"/>
      <c r="AA4" s="13"/>
      <c r="AB4" s="13"/>
    </row>
    <row r="5">
      <c r="A5" s="151" t="s">
        <v>596</v>
      </c>
      <c r="B5" s="13"/>
      <c r="C5" s="13"/>
      <c r="D5" s="13"/>
      <c r="E5" s="13"/>
      <c r="F5" s="13"/>
      <c r="G5" s="13"/>
      <c r="H5" s="13"/>
      <c r="I5" s="13"/>
      <c r="J5" s="13"/>
      <c r="K5" s="13"/>
      <c r="L5" s="13"/>
      <c r="M5" s="13"/>
      <c r="N5" s="13"/>
      <c r="O5" s="13"/>
      <c r="P5" s="13"/>
      <c r="Q5" s="13"/>
      <c r="R5" s="13"/>
      <c r="S5" s="13"/>
      <c r="T5" s="13"/>
      <c r="U5" s="13"/>
      <c r="V5" s="13"/>
      <c r="W5" s="13"/>
      <c r="X5" s="13"/>
      <c r="Y5" s="13"/>
      <c r="Z5" s="13"/>
      <c r="AA5" s="13"/>
      <c r="AB5" s="13"/>
    </row>
    <row r="6">
      <c r="A6" s="151"/>
      <c r="B6" s="13"/>
      <c r="C6" s="13"/>
      <c r="D6" s="13"/>
      <c r="E6" s="13"/>
      <c r="F6" s="13"/>
      <c r="G6" s="13"/>
      <c r="H6" s="13"/>
      <c r="I6" s="13"/>
      <c r="J6" s="13"/>
      <c r="K6" s="13"/>
      <c r="L6" s="13"/>
      <c r="M6" s="13"/>
      <c r="N6" s="13"/>
      <c r="O6" s="13"/>
      <c r="P6" s="13"/>
      <c r="Q6" s="13"/>
      <c r="R6" s="13"/>
      <c r="S6" s="13"/>
      <c r="T6" s="13"/>
      <c r="U6" s="13"/>
      <c r="V6" s="13"/>
      <c r="W6" s="13"/>
      <c r="X6" s="13"/>
      <c r="Y6" s="13"/>
      <c r="Z6" s="13"/>
      <c r="AA6" s="13"/>
      <c r="AB6" s="13"/>
    </row>
    <row r="7">
      <c r="A7" s="151" t="s">
        <v>597</v>
      </c>
      <c r="B7" s="13"/>
      <c r="C7" s="13"/>
      <c r="D7" s="13"/>
      <c r="E7" s="13"/>
      <c r="F7" s="13"/>
      <c r="G7" s="13"/>
      <c r="H7" s="13"/>
      <c r="I7" s="13"/>
      <c r="J7" s="13"/>
      <c r="K7" s="13"/>
      <c r="L7" s="13"/>
      <c r="M7" s="13"/>
      <c r="N7" s="13"/>
      <c r="O7" s="13"/>
      <c r="P7" s="13"/>
      <c r="Q7" s="13"/>
      <c r="R7" s="13"/>
      <c r="S7" s="13"/>
      <c r="T7" s="13"/>
      <c r="U7" s="13"/>
      <c r="V7" s="13"/>
      <c r="W7" s="13"/>
      <c r="X7" s="13"/>
      <c r="Y7" s="13"/>
      <c r="Z7" s="13"/>
      <c r="AA7" s="13"/>
      <c r="AB7" s="13"/>
    </row>
    <row r="8">
      <c r="A8" s="151" t="s">
        <v>598</v>
      </c>
      <c r="B8" s="13"/>
      <c r="C8" s="13"/>
      <c r="D8" s="13"/>
      <c r="E8" s="13"/>
      <c r="F8" s="13"/>
      <c r="G8" s="13"/>
      <c r="H8" s="13"/>
      <c r="I8" s="13"/>
      <c r="J8" s="13"/>
      <c r="K8" s="13"/>
      <c r="L8" s="13"/>
      <c r="M8" s="13"/>
      <c r="N8" s="13"/>
      <c r="O8" s="13"/>
      <c r="P8" s="13"/>
      <c r="Q8" s="13"/>
      <c r="R8" s="13"/>
      <c r="S8" s="13"/>
      <c r="T8" s="13"/>
      <c r="U8" s="13"/>
      <c r="V8" s="13"/>
      <c r="W8" s="13"/>
      <c r="X8" s="13"/>
      <c r="Y8" s="13"/>
      <c r="Z8" s="13"/>
      <c r="AA8" s="13"/>
      <c r="AB8" s="13"/>
    </row>
    <row r="9">
      <c r="A9" s="151" t="s">
        <v>599</v>
      </c>
      <c r="B9" s="13"/>
      <c r="C9" s="13"/>
      <c r="D9" s="13"/>
      <c r="E9" s="13"/>
      <c r="F9" s="13"/>
      <c r="G9" s="13"/>
      <c r="H9" s="13"/>
      <c r="I9" s="13"/>
      <c r="J9" s="13"/>
      <c r="K9" s="13"/>
      <c r="L9" s="13"/>
      <c r="M9" s="13"/>
      <c r="N9" s="13"/>
      <c r="O9" s="13"/>
      <c r="P9" s="13"/>
      <c r="Q9" s="13"/>
      <c r="R9" s="13"/>
      <c r="S9" s="13"/>
      <c r="T9" s="13"/>
      <c r="U9" s="13"/>
      <c r="V9" s="13"/>
      <c r="W9" s="13"/>
      <c r="X9" s="13"/>
      <c r="Y9" s="13"/>
      <c r="Z9" s="13"/>
      <c r="AA9" s="13"/>
      <c r="AB9" s="13"/>
    </row>
    <row r="10">
      <c r="A10" s="151" t="s">
        <v>600</v>
      </c>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row>
    <row r="11">
      <c r="A11" s="151"/>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row>
    <row r="12">
      <c r="A12" s="151" t="s">
        <v>601</v>
      </c>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row>
    <row r="13">
      <c r="A13" s="151" t="s">
        <v>602</v>
      </c>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row>
    <row r="14">
      <c r="A14" s="151" t="s">
        <v>603</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row>
    <row r="15">
      <c r="A15" s="151" t="s">
        <v>604</v>
      </c>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c r="A16" s="151" t="s">
        <v>605</v>
      </c>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row>
    <row r="17">
      <c r="A17" s="151" t="s">
        <v>606</v>
      </c>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row>
    <row r="18">
      <c r="A18" s="151" t="s">
        <v>607</v>
      </c>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row>
    <row r="19">
      <c r="A19" s="151" t="s">
        <v>608</v>
      </c>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row>
    <row r="21">
      <c r="A21" s="151" t="s">
        <v>609</v>
      </c>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row>
    <row r="22">
      <c r="A22" s="151" t="s">
        <v>610</v>
      </c>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row>
    <row r="23">
      <c r="A23" s="151" t="s">
        <v>611</v>
      </c>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row>
    <row r="24">
      <c r="A24" s="151" t="s">
        <v>612</v>
      </c>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row>
    <row r="25">
      <c r="A25" s="151" t="s">
        <v>613</v>
      </c>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row>
    <row r="26">
      <c r="A26" s="151" t="s">
        <v>614</v>
      </c>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row>
    <row r="28">
      <c r="A28" s="10" t="s">
        <v>615</v>
      </c>
      <c r="B28" s="3"/>
      <c r="C28" s="3"/>
      <c r="D28" s="3"/>
      <c r="E28" s="3"/>
      <c r="F28" s="3"/>
      <c r="G28" s="13"/>
      <c r="H28" s="13"/>
      <c r="I28" s="13"/>
      <c r="J28" s="13"/>
      <c r="K28" s="13"/>
      <c r="L28" s="13"/>
      <c r="M28" s="13"/>
      <c r="N28" s="13"/>
      <c r="O28" s="13"/>
      <c r="P28" s="13"/>
      <c r="Q28" s="13"/>
      <c r="R28" s="13"/>
      <c r="S28" s="13"/>
      <c r="T28" s="13"/>
      <c r="U28" s="13"/>
      <c r="V28" s="13"/>
      <c r="W28" s="13"/>
      <c r="X28" s="13"/>
      <c r="Y28" s="13"/>
      <c r="Z28" s="13"/>
      <c r="AA28" s="13"/>
      <c r="AB28" s="13"/>
    </row>
    <row r="29">
      <c r="A29" s="29" t="s">
        <v>616</v>
      </c>
      <c r="B29" s="29" t="s">
        <v>617</v>
      </c>
      <c r="C29" s="29" t="s">
        <v>618</v>
      </c>
      <c r="D29" s="29" t="s">
        <v>619</v>
      </c>
      <c r="E29" s="29" t="s">
        <v>620</v>
      </c>
      <c r="F29" s="29" t="s">
        <v>621</v>
      </c>
      <c r="G29" s="13"/>
      <c r="H29" s="13"/>
      <c r="I29" s="13"/>
      <c r="J29" s="13"/>
      <c r="K29" s="13"/>
      <c r="L29" s="13"/>
      <c r="M29" s="13"/>
      <c r="N29" s="13"/>
      <c r="O29" s="13"/>
      <c r="P29" s="13"/>
      <c r="Q29" s="13"/>
      <c r="R29" s="13"/>
      <c r="S29" s="13"/>
      <c r="T29" s="13"/>
      <c r="U29" s="13"/>
      <c r="V29" s="13"/>
      <c r="W29" s="13"/>
      <c r="X29" s="13"/>
      <c r="Y29" s="13"/>
      <c r="Z29" s="13"/>
      <c r="AA29" s="13"/>
      <c r="AB29" s="13"/>
    </row>
    <row r="30">
      <c r="A30" s="6" t="s">
        <v>513</v>
      </c>
      <c r="B30" s="6">
        <v>414.8</v>
      </c>
      <c r="C30" s="6">
        <v>450.6</v>
      </c>
      <c r="D30" s="6">
        <v>641.0</v>
      </c>
      <c r="E30" s="6">
        <v>848.2</v>
      </c>
      <c r="F30" s="6">
        <v>960.5</v>
      </c>
      <c r="G30" s="13"/>
      <c r="H30" s="13"/>
      <c r="I30" s="13"/>
      <c r="J30" s="13"/>
      <c r="K30" s="13"/>
      <c r="L30" s="13"/>
      <c r="M30" s="13"/>
      <c r="N30" s="13"/>
      <c r="O30" s="13"/>
      <c r="P30" s="13"/>
      <c r="Q30" s="13"/>
      <c r="R30" s="13"/>
      <c r="S30" s="13"/>
      <c r="T30" s="13"/>
      <c r="U30" s="13"/>
      <c r="V30" s="13"/>
      <c r="W30" s="13"/>
      <c r="X30" s="13"/>
      <c r="Y30" s="13"/>
      <c r="Z30" s="13"/>
      <c r="AA30" s="13"/>
      <c r="AB30" s="13"/>
    </row>
    <row r="31">
      <c r="A31" s="6" t="s">
        <v>516</v>
      </c>
      <c r="B31" s="6">
        <v>65.3</v>
      </c>
      <c r="C31" s="6">
        <v>93.5</v>
      </c>
      <c r="D31" s="6">
        <v>101.9</v>
      </c>
      <c r="E31" s="6">
        <v>136.4</v>
      </c>
      <c r="F31" s="6">
        <v>135.5</v>
      </c>
      <c r="G31" s="13"/>
      <c r="H31" s="13"/>
      <c r="I31" s="13"/>
      <c r="J31" s="13"/>
      <c r="K31" s="13"/>
      <c r="L31" s="13"/>
      <c r="M31" s="13"/>
      <c r="N31" s="13"/>
      <c r="O31" s="13"/>
      <c r="P31" s="13"/>
      <c r="Q31" s="13"/>
      <c r="R31" s="13"/>
      <c r="S31" s="13"/>
      <c r="T31" s="13"/>
      <c r="U31" s="13"/>
      <c r="V31" s="13"/>
      <c r="W31" s="13"/>
      <c r="X31" s="13"/>
      <c r="Y31" s="13"/>
      <c r="Z31" s="13"/>
      <c r="AA31" s="13"/>
      <c r="AB31" s="13"/>
    </row>
    <row r="32">
      <c r="A32" s="6" t="s">
        <v>519</v>
      </c>
      <c r="B32" s="6">
        <v>480.1</v>
      </c>
      <c r="C32" s="6">
        <v>544.1</v>
      </c>
      <c r="D32" s="6">
        <v>742.9</v>
      </c>
      <c r="E32" s="6">
        <v>984.6</v>
      </c>
      <c r="F32" s="79">
        <v>1095.9</v>
      </c>
      <c r="G32" s="13"/>
      <c r="H32" s="13"/>
      <c r="I32" s="13"/>
      <c r="J32" s="13"/>
      <c r="K32" s="13"/>
      <c r="L32" s="13"/>
      <c r="M32" s="13"/>
      <c r="N32" s="13"/>
      <c r="O32" s="13"/>
      <c r="P32" s="13"/>
      <c r="Q32" s="13"/>
      <c r="R32" s="13"/>
      <c r="S32" s="13"/>
      <c r="T32" s="13"/>
      <c r="U32" s="13"/>
      <c r="V32" s="13"/>
      <c r="W32" s="13"/>
      <c r="X32" s="13"/>
      <c r="Y32" s="13"/>
      <c r="Z32" s="13"/>
      <c r="AA32" s="13"/>
      <c r="AB32" s="13"/>
    </row>
    <row r="33">
      <c r="A33" s="6" t="s">
        <v>622</v>
      </c>
      <c r="B33" s="6">
        <v>347.5</v>
      </c>
      <c r="C33" s="6">
        <v>360.4</v>
      </c>
      <c r="D33" s="6">
        <v>494.0</v>
      </c>
      <c r="E33" s="6">
        <v>634.1</v>
      </c>
      <c r="F33" s="6">
        <v>657.9</v>
      </c>
      <c r="G33" s="13"/>
      <c r="H33" s="13"/>
      <c r="I33" s="13"/>
      <c r="J33" s="13"/>
      <c r="K33" s="13"/>
      <c r="L33" s="13"/>
      <c r="M33" s="13"/>
      <c r="N33" s="13"/>
      <c r="O33" s="13"/>
      <c r="P33" s="13"/>
      <c r="Q33" s="13"/>
      <c r="R33" s="13"/>
      <c r="S33" s="13"/>
      <c r="T33" s="13"/>
      <c r="U33" s="13"/>
      <c r="V33" s="13"/>
      <c r="W33" s="13"/>
      <c r="X33" s="13"/>
      <c r="Y33" s="13"/>
      <c r="Z33" s="13"/>
      <c r="AA33" s="13"/>
      <c r="AB33" s="13"/>
    </row>
    <row r="34">
      <c r="A34" s="6" t="s">
        <v>623</v>
      </c>
      <c r="B34" s="6">
        <v>263.8</v>
      </c>
      <c r="C34" s="6">
        <v>272.1</v>
      </c>
      <c r="D34" s="6">
        <v>363.3</v>
      </c>
      <c r="E34" s="6">
        <v>462.1</v>
      </c>
      <c r="F34" s="6">
        <v>468.2</v>
      </c>
      <c r="G34" s="13"/>
      <c r="H34" s="13"/>
      <c r="I34" s="13"/>
      <c r="J34" s="13"/>
      <c r="K34" s="13"/>
      <c r="L34" s="13"/>
      <c r="M34" s="13"/>
      <c r="N34" s="13"/>
      <c r="O34" s="13"/>
      <c r="P34" s="13"/>
      <c r="Q34" s="13"/>
      <c r="R34" s="13"/>
      <c r="S34" s="13"/>
      <c r="T34" s="13"/>
      <c r="U34" s="13"/>
      <c r="V34" s="13"/>
      <c r="W34" s="13"/>
      <c r="X34" s="13"/>
      <c r="Y34" s="13"/>
      <c r="Z34" s="13"/>
      <c r="AA34" s="13"/>
      <c r="AB34" s="13"/>
    </row>
    <row r="35">
      <c r="A35" s="21"/>
      <c r="B35" s="3"/>
      <c r="C35" s="3"/>
      <c r="D35" s="3"/>
      <c r="E35" s="3"/>
      <c r="F35" s="3"/>
      <c r="G35" s="13"/>
      <c r="H35" s="13"/>
      <c r="I35" s="13"/>
      <c r="J35" s="13"/>
      <c r="K35" s="13"/>
      <c r="L35" s="13"/>
      <c r="M35" s="13"/>
      <c r="N35" s="13"/>
      <c r="O35" s="13"/>
      <c r="P35" s="13"/>
      <c r="Q35" s="13"/>
      <c r="R35" s="13"/>
      <c r="S35" s="13"/>
      <c r="T35" s="13"/>
      <c r="U35" s="13"/>
      <c r="V35" s="13"/>
      <c r="W35" s="13"/>
      <c r="X35" s="13"/>
      <c r="Y35" s="13"/>
      <c r="Z35" s="13"/>
      <c r="AA35" s="13"/>
      <c r="AB35" s="13"/>
    </row>
    <row r="36">
      <c r="A36" s="10" t="s">
        <v>624</v>
      </c>
      <c r="B36" s="3"/>
      <c r="C36" s="3"/>
      <c r="D36" s="3"/>
      <c r="E36" s="3"/>
      <c r="F36" s="3"/>
      <c r="G36" s="13"/>
      <c r="H36" s="13"/>
      <c r="I36" s="13"/>
      <c r="J36" s="13"/>
      <c r="K36" s="13"/>
      <c r="L36" s="13"/>
      <c r="M36" s="13"/>
      <c r="N36" s="13"/>
      <c r="O36" s="13"/>
      <c r="P36" s="13"/>
      <c r="Q36" s="13"/>
      <c r="R36" s="13"/>
      <c r="S36" s="13"/>
      <c r="T36" s="13"/>
      <c r="U36" s="13"/>
      <c r="V36" s="13"/>
      <c r="W36" s="13"/>
      <c r="X36" s="13"/>
      <c r="Y36" s="13"/>
      <c r="Z36" s="13"/>
      <c r="AA36" s="13"/>
      <c r="AB36" s="13"/>
    </row>
    <row r="37">
      <c r="A37" s="29" t="s">
        <v>616</v>
      </c>
      <c r="B37" s="29" t="s">
        <v>625</v>
      </c>
      <c r="C37" s="29" t="s">
        <v>626</v>
      </c>
      <c r="D37" s="29" t="s">
        <v>627</v>
      </c>
      <c r="E37" s="29" t="s">
        <v>628</v>
      </c>
      <c r="F37" s="29" t="s">
        <v>629</v>
      </c>
      <c r="G37" s="13"/>
      <c r="H37" s="13"/>
      <c r="I37" s="13"/>
      <c r="J37" s="13"/>
      <c r="K37" s="13"/>
      <c r="L37" s="13"/>
      <c r="M37" s="13"/>
      <c r="N37" s="13"/>
      <c r="O37" s="13"/>
      <c r="P37" s="13"/>
      <c r="Q37" s="13"/>
      <c r="R37" s="13"/>
      <c r="S37" s="13"/>
      <c r="T37" s="13"/>
      <c r="U37" s="13"/>
      <c r="V37" s="13"/>
      <c r="W37" s="13"/>
      <c r="X37" s="13"/>
      <c r="Y37" s="13"/>
      <c r="Z37" s="152"/>
      <c r="AA37" s="152"/>
      <c r="AB37" s="152"/>
    </row>
    <row r="38">
      <c r="A38" s="6" t="s">
        <v>154</v>
      </c>
      <c r="B38" s="79">
        <v>1085.3</v>
      </c>
      <c r="C38" s="79">
        <v>1226.4</v>
      </c>
      <c r="D38" s="79">
        <v>1385.8</v>
      </c>
      <c r="E38" s="79">
        <v>1566.0</v>
      </c>
      <c r="F38" s="79">
        <v>1769.6</v>
      </c>
      <c r="G38" s="13"/>
      <c r="H38" s="13"/>
      <c r="I38" s="13"/>
      <c r="J38" s="13"/>
      <c r="K38" s="13"/>
      <c r="L38" s="13"/>
      <c r="M38" s="13"/>
      <c r="N38" s="13"/>
      <c r="O38" s="13"/>
      <c r="P38" s="13"/>
      <c r="Q38" s="13"/>
      <c r="R38" s="13"/>
      <c r="S38" s="13"/>
      <c r="T38" s="13"/>
      <c r="U38" s="13"/>
      <c r="V38" s="13"/>
      <c r="W38" s="13"/>
      <c r="X38" s="13"/>
      <c r="Y38" s="13"/>
      <c r="Z38" s="152"/>
      <c r="AA38" s="152"/>
      <c r="AB38" s="152"/>
    </row>
    <row r="39">
      <c r="A39" s="6" t="s">
        <v>622</v>
      </c>
      <c r="B39" s="6">
        <v>702.6</v>
      </c>
      <c r="C39" s="6">
        <v>757.2</v>
      </c>
      <c r="D39" s="6">
        <v>824.4</v>
      </c>
      <c r="E39" s="6">
        <v>908.1</v>
      </c>
      <c r="F39" s="79">
        <v>1012.9</v>
      </c>
      <c r="G39" s="13"/>
      <c r="H39" s="13"/>
      <c r="I39" s="13"/>
      <c r="J39" s="13"/>
      <c r="K39" s="13"/>
      <c r="L39" s="13"/>
      <c r="M39" s="13"/>
      <c r="N39" s="13"/>
      <c r="O39" s="13"/>
      <c r="P39" s="13"/>
      <c r="Q39" s="13"/>
      <c r="R39" s="13"/>
      <c r="S39" s="13"/>
      <c r="T39" s="13"/>
      <c r="U39" s="13"/>
      <c r="V39" s="13"/>
      <c r="W39" s="13"/>
      <c r="X39" s="13"/>
      <c r="Y39" s="13"/>
      <c r="Z39" s="152"/>
      <c r="AA39" s="152"/>
      <c r="AB39" s="152"/>
    </row>
    <row r="40">
      <c r="A40" s="6" t="s">
        <v>569</v>
      </c>
      <c r="B40" s="81">
        <v>0.647</v>
      </c>
      <c r="C40" s="81">
        <v>0.617</v>
      </c>
      <c r="D40" s="81">
        <v>0.595</v>
      </c>
      <c r="E40" s="81">
        <v>0.58</v>
      </c>
      <c r="F40" s="81">
        <v>0.572</v>
      </c>
      <c r="G40" s="13"/>
      <c r="H40" s="13"/>
      <c r="I40" s="13"/>
      <c r="J40" s="13"/>
      <c r="K40" s="13"/>
      <c r="L40" s="13"/>
      <c r="M40" s="13"/>
      <c r="N40" s="13"/>
      <c r="O40" s="13"/>
      <c r="P40" s="13"/>
      <c r="Q40" s="13"/>
      <c r="R40" s="13"/>
      <c r="S40" s="13"/>
      <c r="T40" s="13"/>
      <c r="U40" s="13"/>
      <c r="V40" s="13"/>
      <c r="W40" s="13"/>
      <c r="X40" s="13"/>
      <c r="Y40" s="13"/>
      <c r="Z40" s="152"/>
      <c r="AA40" s="152"/>
      <c r="AB40" s="152"/>
    </row>
    <row r="41">
      <c r="A41" s="3"/>
      <c r="B41" s="3"/>
      <c r="C41" s="3"/>
      <c r="D41" s="3"/>
      <c r="E41" s="3"/>
      <c r="F41" s="3"/>
      <c r="G41" s="13"/>
      <c r="H41" s="13"/>
      <c r="I41" s="13"/>
      <c r="J41" s="13"/>
      <c r="K41" s="13"/>
      <c r="L41" s="13"/>
      <c r="M41" s="13"/>
      <c r="N41" s="13"/>
      <c r="O41" s="13"/>
      <c r="P41" s="13"/>
      <c r="Q41" s="13"/>
      <c r="R41" s="13"/>
      <c r="S41" s="13"/>
      <c r="T41" s="13"/>
      <c r="U41" s="13"/>
      <c r="V41" s="13"/>
      <c r="W41" s="13"/>
      <c r="X41" s="13"/>
      <c r="Y41" s="13"/>
      <c r="Z41" s="13"/>
      <c r="AA41" s="13"/>
      <c r="AB41" s="13"/>
    </row>
    <row r="42">
      <c r="A42" s="10" t="s">
        <v>624</v>
      </c>
      <c r="B42" s="3"/>
      <c r="C42" s="3"/>
      <c r="D42" s="3"/>
      <c r="E42" s="3"/>
      <c r="F42" s="3"/>
      <c r="G42" s="13"/>
      <c r="H42" s="13"/>
      <c r="I42" s="13"/>
      <c r="J42" s="13"/>
      <c r="K42" s="13"/>
      <c r="L42" s="13"/>
      <c r="M42" s="13"/>
      <c r="N42" s="13"/>
      <c r="O42" s="13"/>
      <c r="P42" s="13"/>
      <c r="Q42" s="13"/>
      <c r="R42" s="13"/>
      <c r="S42" s="13"/>
      <c r="T42" s="13"/>
      <c r="U42" s="13"/>
      <c r="V42" s="13"/>
      <c r="W42" s="13"/>
      <c r="X42" s="13"/>
      <c r="Y42" s="13"/>
      <c r="Z42" s="13"/>
      <c r="AA42" s="13"/>
      <c r="AB42" s="13"/>
    </row>
    <row r="43">
      <c r="A43" s="29" t="s">
        <v>616</v>
      </c>
      <c r="B43" s="29" t="s">
        <v>625</v>
      </c>
      <c r="C43" s="29" t="s">
        <v>626</v>
      </c>
      <c r="D43" s="29" t="s">
        <v>627</v>
      </c>
      <c r="E43" s="29" t="s">
        <v>628</v>
      </c>
      <c r="F43" s="29" t="s">
        <v>629</v>
      </c>
      <c r="G43" s="13"/>
      <c r="H43" s="13"/>
      <c r="I43" s="13"/>
      <c r="J43" s="13"/>
      <c r="K43" s="13"/>
      <c r="L43" s="13"/>
      <c r="M43" s="13"/>
      <c r="N43" s="13"/>
      <c r="O43" s="13"/>
      <c r="P43" s="13"/>
      <c r="Q43" s="13"/>
      <c r="R43" s="13"/>
      <c r="S43" s="13"/>
      <c r="T43" s="13"/>
      <c r="U43" s="13"/>
      <c r="V43" s="13"/>
      <c r="W43" s="13"/>
      <c r="X43" s="13"/>
      <c r="Y43" s="13"/>
      <c r="Z43" s="13"/>
      <c r="AA43" s="13"/>
      <c r="AB43" s="13"/>
    </row>
    <row r="44">
      <c r="A44" s="6" t="s">
        <v>630</v>
      </c>
      <c r="B44" s="6">
        <v>659.9</v>
      </c>
      <c r="C44" s="6">
        <v>708.9</v>
      </c>
      <c r="D44" s="6">
        <v>769.8</v>
      </c>
      <c r="E44" s="6">
        <v>846.4</v>
      </c>
      <c r="F44" s="6">
        <v>943.2</v>
      </c>
      <c r="G44" s="13"/>
      <c r="H44" s="13"/>
      <c r="I44" s="13"/>
      <c r="J44" s="13"/>
      <c r="K44" s="13"/>
      <c r="L44" s="13"/>
      <c r="M44" s="13"/>
      <c r="N44" s="13"/>
      <c r="O44" s="13"/>
      <c r="P44" s="13"/>
      <c r="Q44" s="13"/>
      <c r="R44" s="13"/>
      <c r="S44" s="13"/>
      <c r="T44" s="13"/>
      <c r="U44" s="13"/>
      <c r="V44" s="13"/>
      <c r="W44" s="13"/>
      <c r="X44" s="13"/>
      <c r="Y44" s="13"/>
      <c r="Z44" s="13"/>
      <c r="AA44" s="13"/>
      <c r="AB44" s="13"/>
    </row>
    <row r="45">
      <c r="A45" s="6" t="s">
        <v>631</v>
      </c>
      <c r="B45" s="6">
        <v>493.8</v>
      </c>
      <c r="C45" s="6">
        <v>530.4</v>
      </c>
      <c r="D45" s="6">
        <v>576.1</v>
      </c>
      <c r="E45" s="6">
        <v>633.4</v>
      </c>
      <c r="F45" s="6">
        <v>705.8</v>
      </c>
      <c r="G45" s="13"/>
      <c r="H45" s="13"/>
      <c r="I45" s="13"/>
      <c r="J45" s="13"/>
      <c r="K45" s="13"/>
      <c r="L45" s="13"/>
      <c r="M45" s="13"/>
      <c r="N45" s="13"/>
      <c r="O45" s="13"/>
      <c r="P45" s="13"/>
      <c r="Q45" s="13"/>
      <c r="R45" s="13"/>
      <c r="S45" s="13"/>
      <c r="T45" s="13"/>
      <c r="U45" s="13"/>
      <c r="V45" s="13"/>
      <c r="W45" s="13"/>
      <c r="X45" s="13"/>
      <c r="Y45" s="13"/>
      <c r="Z45" s="13"/>
      <c r="AA45" s="13"/>
      <c r="AB45" s="13"/>
    </row>
    <row r="46">
      <c r="A46" s="6" t="s">
        <v>632</v>
      </c>
      <c r="B46" s="6">
        <v>436.7</v>
      </c>
      <c r="C46" s="6">
        <v>465.9</v>
      </c>
      <c r="D46" s="6">
        <v>503.2</v>
      </c>
      <c r="E46" s="6">
        <v>551.0</v>
      </c>
      <c r="F46" s="6">
        <v>612.7</v>
      </c>
      <c r="G46" s="13"/>
      <c r="H46" s="13"/>
      <c r="I46" s="13"/>
      <c r="J46" s="13"/>
      <c r="K46" s="13"/>
      <c r="L46" s="13"/>
      <c r="M46" s="13"/>
      <c r="N46" s="13"/>
      <c r="O46" s="13"/>
      <c r="P46" s="13"/>
      <c r="Q46" s="13"/>
      <c r="R46" s="13"/>
      <c r="S46" s="13"/>
      <c r="T46" s="13"/>
      <c r="U46" s="13"/>
      <c r="V46" s="13"/>
      <c r="W46" s="13"/>
      <c r="X46" s="13"/>
      <c r="Y46" s="13"/>
      <c r="Z46" s="13"/>
      <c r="AA46" s="13"/>
      <c r="AB46" s="13"/>
    </row>
    <row r="47">
      <c r="A47" s="3"/>
      <c r="B47" s="3"/>
      <c r="C47" s="3"/>
      <c r="D47" s="3"/>
      <c r="E47" s="3"/>
      <c r="F47" s="3"/>
      <c r="G47" s="13"/>
      <c r="H47" s="13"/>
      <c r="I47" s="13"/>
      <c r="J47" s="13"/>
      <c r="K47" s="13"/>
      <c r="L47" s="13"/>
      <c r="M47" s="13"/>
      <c r="N47" s="13"/>
      <c r="O47" s="13"/>
      <c r="P47" s="13"/>
      <c r="Q47" s="13"/>
      <c r="R47" s="13"/>
      <c r="S47" s="13"/>
      <c r="T47" s="13"/>
      <c r="U47" s="13"/>
      <c r="V47" s="13"/>
      <c r="W47" s="13"/>
      <c r="X47" s="13"/>
      <c r="Y47" s="13"/>
      <c r="Z47" s="13"/>
      <c r="AA47" s="13"/>
      <c r="AB47" s="13"/>
    </row>
    <row r="48">
      <c r="A48" s="153" t="s">
        <v>633</v>
      </c>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c r="A49" s="151" t="s">
        <v>634</v>
      </c>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c r="A50" s="151" t="s">
        <v>635</v>
      </c>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row r="51">
      <c r="A51" s="151" t="s">
        <v>636</v>
      </c>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row>
    <row r="52">
      <c r="A52" s="151" t="s">
        <v>637</v>
      </c>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row>
    <row r="53">
      <c r="A53" s="151" t="s">
        <v>638</v>
      </c>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row>
    <row r="54">
      <c r="A54" s="151" t="s">
        <v>639</v>
      </c>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row>
    <row r="56">
      <c r="A56" s="153" t="s">
        <v>640</v>
      </c>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c r="A57" s="153" t="s">
        <v>641</v>
      </c>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c r="A58" s="151" t="s">
        <v>642</v>
      </c>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row>
    <row r="60">
      <c r="A60" s="153" t="s">
        <v>643</v>
      </c>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row>
    <row r="61">
      <c r="A61" s="151" t="s">
        <v>644</v>
      </c>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row>
    <row r="63">
      <c r="A63" s="153" t="s">
        <v>645</v>
      </c>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row>
    <row r="64">
      <c r="A64" s="151" t="s">
        <v>646</v>
      </c>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row>
    <row r="66">
      <c r="A66" s="153" t="s">
        <v>647</v>
      </c>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row>
    <row r="67">
      <c r="A67" s="151" t="s">
        <v>648</v>
      </c>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row>
    <row r="68">
      <c r="A68" s="151" t="s">
        <v>649</v>
      </c>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row>
    <row r="69">
      <c r="A69" s="151" t="s">
        <v>650</v>
      </c>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row>
    <row r="70">
      <c r="A70" s="151" t="s">
        <v>651</v>
      </c>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row>
    <row r="71">
      <c r="A71" s="151" t="s">
        <v>652</v>
      </c>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row>
    <row r="72">
      <c r="A72" s="151" t="s">
        <v>653</v>
      </c>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row>
    <row r="73">
      <c r="A73" s="151"/>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c r="A74" s="153" t="s">
        <v>654</v>
      </c>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c r="A75" s="151" t="s">
        <v>655</v>
      </c>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c r="A77" s="153" t="s">
        <v>656</v>
      </c>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c r="A78" s="151" t="s">
        <v>657</v>
      </c>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c r="A80" s="10" t="s">
        <v>658</v>
      </c>
      <c r="B80" s="154"/>
      <c r="C80" s="154"/>
      <c r="D80" s="154"/>
      <c r="E80" s="154"/>
      <c r="F80" s="13"/>
      <c r="G80" s="13"/>
      <c r="H80" s="13"/>
      <c r="I80" s="13"/>
      <c r="J80" s="13"/>
      <c r="K80" s="13"/>
      <c r="L80" s="13"/>
      <c r="M80" s="13"/>
      <c r="N80" s="13"/>
      <c r="O80" s="13"/>
      <c r="P80" s="13"/>
      <c r="Q80" s="13"/>
      <c r="R80" s="13"/>
      <c r="S80" s="13"/>
      <c r="T80" s="13"/>
      <c r="U80" s="13"/>
      <c r="V80" s="13"/>
      <c r="W80" s="13"/>
      <c r="X80" s="13"/>
      <c r="Y80" s="13"/>
      <c r="Z80" s="13"/>
      <c r="AA80" s="13"/>
      <c r="AB80" s="13"/>
    </row>
    <row r="81">
      <c r="A81" s="29" t="s">
        <v>244</v>
      </c>
      <c r="B81" s="29" t="s">
        <v>343</v>
      </c>
      <c r="C81" s="29" t="s">
        <v>344</v>
      </c>
      <c r="D81" s="29" t="s">
        <v>569</v>
      </c>
      <c r="E81" s="29" t="s">
        <v>659</v>
      </c>
      <c r="F81" s="13"/>
      <c r="G81" s="13"/>
      <c r="H81" s="13"/>
      <c r="I81" s="13"/>
      <c r="J81" s="13"/>
      <c r="K81" s="13"/>
      <c r="L81" s="13"/>
      <c r="M81" s="13"/>
      <c r="N81" s="13"/>
      <c r="O81" s="13"/>
      <c r="P81" s="13"/>
      <c r="Q81" s="13"/>
      <c r="R81" s="13"/>
      <c r="S81" s="13"/>
      <c r="T81" s="13"/>
      <c r="U81" s="13"/>
      <c r="V81" s="13"/>
      <c r="W81" s="13"/>
      <c r="X81" s="13"/>
      <c r="Y81" s="13"/>
      <c r="Z81" s="13"/>
      <c r="AA81" s="13"/>
      <c r="AB81" s="13"/>
    </row>
    <row r="82">
      <c r="A82" s="6" t="s">
        <v>170</v>
      </c>
      <c r="B82" s="6">
        <v>848.2</v>
      </c>
      <c r="C82" s="81">
        <v>0.323</v>
      </c>
      <c r="D82" s="81">
        <v>0.748</v>
      </c>
      <c r="E82" s="6" t="s">
        <v>660</v>
      </c>
      <c r="F82" s="13"/>
      <c r="G82" s="13"/>
      <c r="H82" s="13"/>
      <c r="I82" s="13"/>
      <c r="J82" s="13"/>
      <c r="K82" s="13"/>
      <c r="L82" s="13"/>
      <c r="M82" s="13"/>
      <c r="N82" s="13"/>
      <c r="O82" s="13"/>
      <c r="P82" s="13"/>
      <c r="Q82" s="13"/>
      <c r="R82" s="13"/>
      <c r="S82" s="13"/>
      <c r="T82" s="13"/>
      <c r="U82" s="13"/>
      <c r="V82" s="13"/>
      <c r="W82" s="13"/>
      <c r="X82" s="13"/>
      <c r="Y82" s="13"/>
      <c r="Z82" s="13"/>
      <c r="AA82" s="13"/>
      <c r="AB82" s="13"/>
    </row>
    <row r="83">
      <c r="A83" s="6" t="s">
        <v>173</v>
      </c>
      <c r="B83" s="79">
        <v>1420.1</v>
      </c>
      <c r="C83" s="81">
        <v>0.12</v>
      </c>
      <c r="D83" s="81">
        <v>0.321</v>
      </c>
      <c r="E83" s="6" t="s">
        <v>661</v>
      </c>
      <c r="F83" s="13"/>
      <c r="G83" s="13"/>
      <c r="H83" s="13"/>
      <c r="I83" s="13"/>
      <c r="J83" s="13"/>
      <c r="K83" s="13"/>
      <c r="L83" s="13"/>
      <c r="M83" s="13"/>
      <c r="N83" s="13"/>
      <c r="O83" s="13"/>
      <c r="P83" s="13"/>
      <c r="Q83" s="13"/>
      <c r="R83" s="13"/>
      <c r="S83" s="13"/>
      <c r="T83" s="13"/>
      <c r="U83" s="13"/>
      <c r="V83" s="13"/>
      <c r="W83" s="13"/>
      <c r="X83" s="13"/>
      <c r="Y83" s="13"/>
      <c r="Z83" s="13"/>
      <c r="AA83" s="13"/>
      <c r="AB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c r="A85" s="153" t="s">
        <v>662</v>
      </c>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c r="A86" s="151" t="s">
        <v>663</v>
      </c>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c r="A87" s="151" t="s">
        <v>664</v>
      </c>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c r="A88" s="151" t="s">
        <v>665</v>
      </c>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c r="A91" s="10" t="s">
        <v>184</v>
      </c>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c r="A92" s="29" t="s">
        <v>616</v>
      </c>
      <c r="B92" s="29" t="s">
        <v>617</v>
      </c>
      <c r="C92" s="29" t="s">
        <v>618</v>
      </c>
      <c r="D92" s="29" t="s">
        <v>619</v>
      </c>
      <c r="E92" s="29" t="s">
        <v>620</v>
      </c>
      <c r="F92" s="29" t="s">
        <v>621</v>
      </c>
      <c r="G92" s="13"/>
      <c r="H92" s="13"/>
      <c r="I92" s="13"/>
      <c r="J92" s="13"/>
      <c r="K92" s="13"/>
      <c r="L92" s="13"/>
      <c r="M92" s="13"/>
      <c r="N92" s="13"/>
      <c r="O92" s="13"/>
      <c r="P92" s="13"/>
      <c r="Q92" s="13"/>
      <c r="R92" s="13"/>
      <c r="S92" s="13"/>
      <c r="T92" s="13"/>
      <c r="U92" s="13"/>
      <c r="V92" s="13"/>
      <c r="W92" s="13"/>
      <c r="X92" s="13"/>
      <c r="Y92" s="13"/>
      <c r="Z92" s="13"/>
      <c r="AA92" s="13"/>
      <c r="AB92" s="13"/>
    </row>
    <row r="93">
      <c r="A93" s="6" t="s">
        <v>154</v>
      </c>
      <c r="B93" s="6">
        <v>414.8</v>
      </c>
      <c r="C93" s="6">
        <v>450.6</v>
      </c>
      <c r="D93" s="6">
        <v>641.0</v>
      </c>
      <c r="E93" s="6">
        <v>848.2</v>
      </c>
      <c r="F93" s="6">
        <v>960.5</v>
      </c>
      <c r="G93" s="13"/>
      <c r="H93" s="13"/>
      <c r="I93" s="13"/>
      <c r="J93" s="13"/>
      <c r="K93" s="13"/>
      <c r="L93" s="13"/>
      <c r="M93" s="13"/>
      <c r="N93" s="13"/>
      <c r="O93" s="13"/>
      <c r="P93" s="13"/>
      <c r="Q93" s="13"/>
      <c r="R93" s="13"/>
      <c r="S93" s="13"/>
      <c r="T93" s="13"/>
      <c r="U93" s="13"/>
      <c r="V93" s="13"/>
      <c r="W93" s="13"/>
      <c r="X93" s="13"/>
      <c r="Y93" s="13"/>
      <c r="Z93" s="13"/>
      <c r="AA93" s="13"/>
      <c r="AB93" s="13"/>
    </row>
    <row r="94">
      <c r="A94" s="6" t="s">
        <v>622</v>
      </c>
      <c r="B94" s="6">
        <v>347.5</v>
      </c>
      <c r="C94" s="6">
        <v>360.4</v>
      </c>
      <c r="D94" s="6">
        <v>494.0</v>
      </c>
      <c r="E94" s="6">
        <v>634.1</v>
      </c>
      <c r="F94" s="6">
        <v>657.9</v>
      </c>
      <c r="G94" s="13"/>
      <c r="H94" s="13"/>
      <c r="I94" s="13"/>
      <c r="J94" s="13"/>
      <c r="K94" s="13"/>
      <c r="L94" s="13"/>
      <c r="M94" s="13"/>
      <c r="N94" s="13"/>
      <c r="O94" s="13"/>
      <c r="P94" s="13"/>
      <c r="Q94" s="13"/>
      <c r="R94" s="13"/>
      <c r="S94" s="13"/>
      <c r="T94" s="13"/>
      <c r="U94" s="13"/>
      <c r="V94" s="13"/>
      <c r="W94" s="13"/>
      <c r="X94" s="13"/>
      <c r="Y94" s="13"/>
      <c r="Z94" s="13"/>
      <c r="AA94" s="13"/>
      <c r="AB94" s="13"/>
    </row>
    <row r="95">
      <c r="A95" s="6" t="s">
        <v>630</v>
      </c>
      <c r="B95" s="6">
        <v>337.4</v>
      </c>
      <c r="C95" s="6">
        <v>344.5</v>
      </c>
      <c r="D95" s="6">
        <v>472.8</v>
      </c>
      <c r="E95" s="6">
        <v>593.6</v>
      </c>
      <c r="F95" s="6">
        <v>603.7</v>
      </c>
      <c r="G95" s="13"/>
      <c r="H95" s="13"/>
      <c r="I95" s="13"/>
      <c r="J95" s="13"/>
      <c r="K95" s="13"/>
      <c r="L95" s="13"/>
      <c r="M95" s="13"/>
      <c r="N95" s="13"/>
      <c r="O95" s="13"/>
      <c r="P95" s="13"/>
      <c r="Q95" s="13"/>
      <c r="R95" s="13"/>
      <c r="S95" s="13"/>
      <c r="T95" s="13"/>
      <c r="U95" s="13"/>
      <c r="V95" s="13"/>
      <c r="W95" s="13"/>
      <c r="X95" s="13"/>
      <c r="Y95" s="13"/>
      <c r="Z95" s="13"/>
      <c r="AA95" s="13"/>
      <c r="AB95" s="13"/>
    </row>
    <row r="96">
      <c r="A96" s="6" t="s">
        <v>666</v>
      </c>
      <c r="B96" s="6">
        <v>263.8</v>
      </c>
      <c r="C96" s="6">
        <v>272.1</v>
      </c>
      <c r="D96" s="6">
        <v>363.3</v>
      </c>
      <c r="E96" s="6">
        <v>462.1</v>
      </c>
      <c r="F96" s="6">
        <v>468.2</v>
      </c>
      <c r="G96" s="13"/>
      <c r="H96" s="13"/>
      <c r="I96" s="13"/>
      <c r="J96" s="13"/>
      <c r="K96" s="13"/>
      <c r="L96" s="13"/>
      <c r="M96" s="13"/>
      <c r="N96" s="13"/>
      <c r="O96" s="13"/>
      <c r="P96" s="13"/>
      <c r="Q96" s="13"/>
      <c r="R96" s="13"/>
      <c r="S96" s="13"/>
      <c r="T96" s="13"/>
      <c r="U96" s="13"/>
      <c r="V96" s="13"/>
      <c r="W96" s="13"/>
      <c r="X96" s="13"/>
      <c r="Y96" s="13"/>
      <c r="Z96" s="13"/>
      <c r="AA96" s="13"/>
      <c r="AB96" s="13"/>
    </row>
    <row r="97">
      <c r="A97" s="21"/>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c r="A98" s="10" t="s">
        <v>204</v>
      </c>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c r="A99" s="29" t="s">
        <v>616</v>
      </c>
      <c r="B99" s="29" t="s">
        <v>617</v>
      </c>
      <c r="C99" s="29" t="s">
        <v>618</v>
      </c>
      <c r="D99" s="29" t="s">
        <v>619</v>
      </c>
      <c r="E99" s="29" t="s">
        <v>620</v>
      </c>
      <c r="F99" s="29" t="s">
        <v>621</v>
      </c>
      <c r="G99" s="13"/>
      <c r="H99" s="13"/>
      <c r="I99" s="13"/>
      <c r="J99" s="13"/>
      <c r="K99" s="13"/>
      <c r="L99" s="13"/>
      <c r="M99" s="13"/>
      <c r="N99" s="13"/>
      <c r="O99" s="13"/>
      <c r="P99" s="13"/>
      <c r="Q99" s="13"/>
      <c r="R99" s="13"/>
      <c r="S99" s="13"/>
      <c r="T99" s="13"/>
      <c r="U99" s="13"/>
      <c r="V99" s="13"/>
      <c r="W99" s="13"/>
      <c r="X99" s="13"/>
      <c r="Y99" s="13"/>
      <c r="Z99" s="13"/>
      <c r="AA99" s="13"/>
      <c r="AB99" s="13"/>
    </row>
    <row r="100">
      <c r="A100" s="6" t="s">
        <v>537</v>
      </c>
      <c r="B100" s="79">
        <v>1026.5</v>
      </c>
      <c r="C100" s="79">
        <v>1148.2</v>
      </c>
      <c r="D100" s="79">
        <v>1403.0</v>
      </c>
      <c r="E100" s="79">
        <v>1717.7</v>
      </c>
      <c r="F100" s="79">
        <v>1975.5</v>
      </c>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A101" s="6" t="s">
        <v>667</v>
      </c>
      <c r="B101" s="6">
        <v>0.11</v>
      </c>
      <c r="C101" s="6">
        <v>0.1</v>
      </c>
      <c r="D101" s="6">
        <v>0.27</v>
      </c>
      <c r="E101" s="6">
        <v>2.31</v>
      </c>
      <c r="F101" s="6">
        <v>1.56</v>
      </c>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6" t="s">
        <v>534</v>
      </c>
      <c r="B102" s="6">
        <v>65.2</v>
      </c>
      <c r="C102" s="6">
        <v>47.6</v>
      </c>
      <c r="D102" s="6">
        <v>10.3</v>
      </c>
      <c r="E102" s="6">
        <v>17.0</v>
      </c>
      <c r="F102" s="6">
        <v>31.8</v>
      </c>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6" t="s">
        <v>668</v>
      </c>
      <c r="B103" s="6">
        <v>850.1</v>
      </c>
      <c r="C103" s="6">
        <v>965.9</v>
      </c>
      <c r="D103" s="79">
        <v>1159.9</v>
      </c>
      <c r="E103" s="79">
        <v>1391.3</v>
      </c>
      <c r="F103" s="79">
        <v>1598.2</v>
      </c>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21"/>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0" t="s">
        <v>224</v>
      </c>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29" t="s">
        <v>616</v>
      </c>
      <c r="B106" s="29" t="s">
        <v>617</v>
      </c>
      <c r="C106" s="29" t="s">
        <v>618</v>
      </c>
      <c r="D106" s="29" t="s">
        <v>619</v>
      </c>
      <c r="E106" s="29" t="s">
        <v>620</v>
      </c>
      <c r="F106" s="29" t="s">
        <v>621</v>
      </c>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6" t="s">
        <v>669</v>
      </c>
      <c r="B107" s="6">
        <v>231.9</v>
      </c>
      <c r="C107" s="6">
        <v>206.6</v>
      </c>
      <c r="D107" s="6">
        <v>334.3</v>
      </c>
      <c r="E107" s="6">
        <v>442.8</v>
      </c>
      <c r="F107" s="6">
        <v>430.7</v>
      </c>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6" t="s">
        <v>670</v>
      </c>
      <c r="B108" s="6">
        <v>13.9</v>
      </c>
      <c r="C108" s="6">
        <v>194.3</v>
      </c>
      <c r="D108" s="6">
        <v>53.9</v>
      </c>
      <c r="E108" s="6">
        <v>124.4</v>
      </c>
      <c r="F108" s="6">
        <v>99.7</v>
      </c>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6" t="s">
        <v>671</v>
      </c>
      <c r="B109" s="6">
        <v>218.0</v>
      </c>
      <c r="C109" s="6">
        <v>12.3</v>
      </c>
      <c r="D109" s="6">
        <v>280.5</v>
      </c>
      <c r="E109" s="6">
        <v>318.4</v>
      </c>
      <c r="F109" s="6">
        <v>331.0</v>
      </c>
      <c r="G109" s="151" t="s">
        <v>672</v>
      </c>
      <c r="H109" s="13"/>
      <c r="I109" s="13"/>
      <c r="J109" s="13"/>
      <c r="K109" s="13"/>
      <c r="L109" s="13"/>
      <c r="M109" s="13"/>
      <c r="N109" s="13"/>
      <c r="O109" s="13"/>
      <c r="P109" s="13"/>
      <c r="Q109" s="13"/>
      <c r="R109" s="13"/>
      <c r="S109" s="13"/>
      <c r="T109" s="13"/>
      <c r="U109" s="13"/>
      <c r="V109" s="13"/>
      <c r="W109" s="13"/>
      <c r="X109" s="13"/>
      <c r="Y109" s="13"/>
      <c r="Z109" s="13"/>
      <c r="AA109" s="13"/>
      <c r="AB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0" t="s">
        <v>673</v>
      </c>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29" t="s">
        <v>325</v>
      </c>
      <c r="B112" s="29" t="s">
        <v>617</v>
      </c>
      <c r="C112" s="29" t="s">
        <v>621</v>
      </c>
      <c r="D112" s="29" t="s">
        <v>674</v>
      </c>
      <c r="E112" s="151" t="s">
        <v>675</v>
      </c>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6" t="s">
        <v>154</v>
      </c>
      <c r="B113" s="6" t="s">
        <v>676</v>
      </c>
      <c r="C113" s="6" t="s">
        <v>677</v>
      </c>
      <c r="D113" s="81">
        <v>0.234</v>
      </c>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6" t="s">
        <v>622</v>
      </c>
      <c r="B114" s="6" t="s">
        <v>678</v>
      </c>
      <c r="C114" s="6" t="s">
        <v>679</v>
      </c>
      <c r="D114" s="81">
        <v>0.173</v>
      </c>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6" t="s">
        <v>666</v>
      </c>
      <c r="B115" s="6" t="s">
        <v>680</v>
      </c>
      <c r="C115" s="6" t="s">
        <v>681</v>
      </c>
      <c r="D115" s="81">
        <v>0.154</v>
      </c>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6" t="s">
        <v>682</v>
      </c>
      <c r="B116" s="6" t="s">
        <v>683</v>
      </c>
      <c r="C116" s="6" t="s">
        <v>684</v>
      </c>
      <c r="D116" s="81">
        <v>0.154</v>
      </c>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0" t="s">
        <v>685</v>
      </c>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29" t="s">
        <v>325</v>
      </c>
      <c r="B119" s="29" t="s">
        <v>617</v>
      </c>
      <c r="C119" s="29" t="s">
        <v>618</v>
      </c>
      <c r="D119" s="29" t="s">
        <v>619</v>
      </c>
      <c r="E119" s="29" t="s">
        <v>620</v>
      </c>
      <c r="F119" s="29" t="s">
        <v>621</v>
      </c>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6" t="s">
        <v>569</v>
      </c>
      <c r="B120" s="81">
        <v>0.838</v>
      </c>
      <c r="C120" s="81">
        <v>0.8</v>
      </c>
      <c r="D120" s="81">
        <v>0.771</v>
      </c>
      <c r="E120" s="81">
        <v>0.748</v>
      </c>
      <c r="F120" s="81">
        <v>0.685</v>
      </c>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6" t="s">
        <v>686</v>
      </c>
      <c r="B121" s="81">
        <v>0.813</v>
      </c>
      <c r="C121" s="81">
        <v>0.765</v>
      </c>
      <c r="D121" s="81">
        <v>0.738</v>
      </c>
      <c r="E121" s="81">
        <v>0.7</v>
      </c>
      <c r="F121" s="81">
        <v>0.628</v>
      </c>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6" t="s">
        <v>687</v>
      </c>
      <c r="B122" s="81">
        <v>0.636</v>
      </c>
      <c r="C122" s="81">
        <v>0.604</v>
      </c>
      <c r="D122" s="81">
        <v>0.567</v>
      </c>
      <c r="E122" s="81">
        <v>0.545</v>
      </c>
      <c r="F122" s="81">
        <v>0.487</v>
      </c>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0" t="s">
        <v>662</v>
      </c>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51" t="s">
        <v>688</v>
      </c>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51" t="s">
        <v>689</v>
      </c>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51" t="s">
        <v>690</v>
      </c>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0" t="s">
        <v>691</v>
      </c>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29" t="s">
        <v>325</v>
      </c>
      <c r="B131" s="29" t="s">
        <v>617</v>
      </c>
      <c r="C131" s="29" t="s">
        <v>618</v>
      </c>
      <c r="D131" s="29" t="s">
        <v>619</v>
      </c>
      <c r="E131" s="29" t="s">
        <v>620</v>
      </c>
      <c r="F131" s="29" t="s">
        <v>621</v>
      </c>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6" t="s">
        <v>353</v>
      </c>
      <c r="B132" s="81">
        <v>0.31</v>
      </c>
      <c r="C132" s="81">
        <v>0.3</v>
      </c>
      <c r="D132" s="81">
        <v>0.342</v>
      </c>
      <c r="E132" s="81">
        <v>0.362</v>
      </c>
      <c r="F132" s="81">
        <v>0.313</v>
      </c>
      <c r="G132" s="151" t="s">
        <v>692</v>
      </c>
      <c r="H132" s="13"/>
      <c r="I132" s="13"/>
      <c r="J132" s="13"/>
      <c r="K132" s="13"/>
      <c r="L132" s="13"/>
      <c r="M132" s="13"/>
      <c r="N132" s="13"/>
      <c r="O132" s="13"/>
      <c r="P132" s="13"/>
      <c r="Q132" s="13"/>
      <c r="R132" s="13"/>
      <c r="S132" s="13"/>
      <c r="T132" s="13"/>
      <c r="U132" s="13"/>
      <c r="V132" s="13"/>
      <c r="W132" s="13"/>
      <c r="X132" s="13"/>
      <c r="Y132" s="13"/>
      <c r="Z132" s="13"/>
      <c r="AA132" s="13"/>
      <c r="AB132" s="13"/>
    </row>
    <row r="133">
      <c r="A133" s="6" t="s">
        <v>356</v>
      </c>
      <c r="B133" s="81">
        <v>0.397</v>
      </c>
      <c r="C133" s="81">
        <v>0.379</v>
      </c>
      <c r="D133" s="81">
        <v>0.445</v>
      </c>
      <c r="E133" s="81">
        <v>0.465</v>
      </c>
      <c r="F133" s="81">
        <v>0.403</v>
      </c>
      <c r="G133" s="151" t="s">
        <v>693</v>
      </c>
      <c r="H133" s="13"/>
      <c r="I133" s="13"/>
      <c r="J133" s="13"/>
      <c r="K133" s="13"/>
      <c r="L133" s="13"/>
      <c r="M133" s="13"/>
      <c r="N133" s="13"/>
      <c r="O133" s="13"/>
      <c r="P133" s="13"/>
      <c r="Q133" s="13"/>
      <c r="R133" s="13"/>
      <c r="S133" s="13"/>
      <c r="T133" s="13"/>
      <c r="U133" s="13"/>
      <c r="V133" s="13"/>
      <c r="W133" s="13"/>
      <c r="X133" s="13"/>
      <c r="Y133" s="13"/>
      <c r="Z133" s="13"/>
      <c r="AA133" s="13"/>
      <c r="AB133" s="13"/>
    </row>
    <row r="134">
      <c r="A134" s="6" t="s">
        <v>589</v>
      </c>
      <c r="B134" s="6" t="s">
        <v>694</v>
      </c>
      <c r="C134" s="6" t="s">
        <v>695</v>
      </c>
      <c r="D134" s="6" t="s">
        <v>696</v>
      </c>
      <c r="E134" s="6" t="s">
        <v>697</v>
      </c>
      <c r="F134" s="6" t="s">
        <v>698</v>
      </c>
      <c r="G134" s="151" t="s">
        <v>699</v>
      </c>
      <c r="H134" s="13"/>
      <c r="I134" s="13"/>
      <c r="J134" s="13"/>
      <c r="K134" s="13"/>
      <c r="L134" s="13"/>
      <c r="M134" s="13"/>
      <c r="N134" s="13"/>
      <c r="O134" s="13"/>
      <c r="P134" s="13"/>
      <c r="Q134" s="13"/>
      <c r="R134" s="13"/>
      <c r="S134" s="13"/>
      <c r="T134" s="13"/>
      <c r="U134" s="13"/>
      <c r="V134" s="13"/>
      <c r="W134" s="13"/>
      <c r="X134" s="13"/>
      <c r="Y134" s="13"/>
      <c r="Z134" s="13"/>
      <c r="AA134" s="13"/>
      <c r="AB134" s="13"/>
    </row>
    <row r="135">
      <c r="A135" s="6" t="s">
        <v>360</v>
      </c>
      <c r="B135" s="6" t="s">
        <v>700</v>
      </c>
      <c r="C135" s="6" t="s">
        <v>700</v>
      </c>
      <c r="D135" s="6" t="s">
        <v>361</v>
      </c>
      <c r="E135" s="6" t="s">
        <v>362</v>
      </c>
      <c r="F135" s="6" t="s">
        <v>363</v>
      </c>
      <c r="G135" s="151" t="s">
        <v>701</v>
      </c>
      <c r="H135" s="13"/>
      <c r="I135" s="13"/>
      <c r="J135" s="13"/>
      <c r="K135" s="13"/>
      <c r="L135" s="13"/>
      <c r="M135" s="13"/>
      <c r="N135" s="13"/>
      <c r="O135" s="13"/>
      <c r="P135" s="13"/>
      <c r="Q135" s="13"/>
      <c r="R135" s="13"/>
      <c r="S135" s="13"/>
      <c r="T135" s="13"/>
      <c r="U135" s="13"/>
      <c r="V135" s="13"/>
      <c r="W135" s="13"/>
      <c r="X135" s="13"/>
      <c r="Y135" s="13"/>
      <c r="Z135" s="13"/>
      <c r="AA135" s="13"/>
      <c r="AB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0" t="s">
        <v>702</v>
      </c>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51" t="s">
        <v>703</v>
      </c>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51" t="s">
        <v>704</v>
      </c>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51" t="s">
        <v>705</v>
      </c>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51" t="s">
        <v>706</v>
      </c>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55" t="s">
        <v>707</v>
      </c>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56" t="s">
        <v>616</v>
      </c>
      <c r="B144" s="156" t="s">
        <v>617</v>
      </c>
      <c r="C144" s="156" t="s">
        <v>618</v>
      </c>
      <c r="D144" s="156" t="s">
        <v>619</v>
      </c>
      <c r="E144" s="156" t="s">
        <v>620</v>
      </c>
      <c r="F144" s="156" t="s">
        <v>621</v>
      </c>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57" t="s">
        <v>666</v>
      </c>
      <c r="B145" s="157">
        <v>263.8</v>
      </c>
      <c r="C145" s="157">
        <v>272.1</v>
      </c>
      <c r="D145" s="157">
        <v>363.3</v>
      </c>
      <c r="E145" s="157">
        <v>462.1</v>
      </c>
      <c r="F145" s="157">
        <v>468.2</v>
      </c>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57" t="s">
        <v>669</v>
      </c>
      <c r="B146" s="157">
        <v>231.9</v>
      </c>
      <c r="C146" s="157">
        <v>206.6</v>
      </c>
      <c r="D146" s="157">
        <v>334.3</v>
      </c>
      <c r="E146" s="157">
        <v>442.8</v>
      </c>
      <c r="F146" s="157">
        <v>430.7</v>
      </c>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57" t="s">
        <v>708</v>
      </c>
      <c r="B147" s="157" t="s">
        <v>709</v>
      </c>
      <c r="C147" s="157" t="s">
        <v>710</v>
      </c>
      <c r="D147" s="157" t="s">
        <v>711</v>
      </c>
      <c r="E147" s="157" t="s">
        <v>712</v>
      </c>
      <c r="F147" s="157" t="s">
        <v>711</v>
      </c>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58" t="s">
        <v>713</v>
      </c>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56" t="s">
        <v>714</v>
      </c>
      <c r="B150" s="156" t="s">
        <v>715</v>
      </c>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57" t="s">
        <v>716</v>
      </c>
      <c r="B151" s="159" t="s">
        <v>717</v>
      </c>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57"/>
      <c r="B152" s="159" t="s">
        <v>718</v>
      </c>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57"/>
      <c r="B153" s="159" t="s">
        <v>719</v>
      </c>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57"/>
      <c r="B154" s="159" t="s">
        <v>720</v>
      </c>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57" t="s">
        <v>721</v>
      </c>
      <c r="B155" s="159" t="s">
        <v>722</v>
      </c>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57" t="s">
        <v>723</v>
      </c>
      <c r="B156" s="159" t="s">
        <v>724</v>
      </c>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57"/>
      <c r="B157" s="159" t="s">
        <v>725</v>
      </c>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57"/>
      <c r="B158" s="159" t="s">
        <v>726</v>
      </c>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57" t="s">
        <v>556</v>
      </c>
      <c r="B159" s="159" t="s">
        <v>727</v>
      </c>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57" t="s">
        <v>728</v>
      </c>
      <c r="B160" s="33" t="s">
        <v>729</v>
      </c>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56" t="s">
        <v>616</v>
      </c>
      <c r="B161" s="156" t="s">
        <v>617</v>
      </c>
      <c r="C161" s="156" t="s">
        <v>618</v>
      </c>
      <c r="D161" s="156" t="s">
        <v>619</v>
      </c>
      <c r="E161" s="156" t="s">
        <v>620</v>
      </c>
      <c r="F161" s="156" t="s">
        <v>621</v>
      </c>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57" t="s">
        <v>669</v>
      </c>
      <c r="B162" s="157">
        <v>231.9</v>
      </c>
      <c r="C162" s="157">
        <v>206.6</v>
      </c>
      <c r="D162" s="157">
        <v>334.3</v>
      </c>
      <c r="E162" s="157">
        <v>442.8</v>
      </c>
      <c r="F162" s="157">
        <v>430.7</v>
      </c>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57" t="s">
        <v>670</v>
      </c>
      <c r="B163" s="157">
        <v>13.9</v>
      </c>
      <c r="C163" s="157">
        <v>194.3</v>
      </c>
      <c r="D163" s="157">
        <v>53.9</v>
      </c>
      <c r="E163" s="157">
        <v>124.4</v>
      </c>
      <c r="F163" s="157">
        <v>99.7</v>
      </c>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57" t="s">
        <v>671</v>
      </c>
      <c r="B164" s="157">
        <v>218.0</v>
      </c>
      <c r="C164" s="157">
        <v>12.3</v>
      </c>
      <c r="D164" s="157">
        <v>280.5</v>
      </c>
      <c r="E164" s="157">
        <v>318.4</v>
      </c>
      <c r="F164" s="157">
        <v>331.0</v>
      </c>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55" t="s">
        <v>662</v>
      </c>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58" t="s">
        <v>730</v>
      </c>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58" t="s">
        <v>731</v>
      </c>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58" t="s">
        <v>732</v>
      </c>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55" t="s">
        <v>733</v>
      </c>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56" t="s">
        <v>734</v>
      </c>
      <c r="B172" s="160" t="s">
        <v>735</v>
      </c>
      <c r="C172" s="16"/>
      <c r="D172" s="5"/>
      <c r="E172" s="156" t="s">
        <v>736</v>
      </c>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57" t="s">
        <v>737</v>
      </c>
      <c r="B173" s="159" t="s">
        <v>738</v>
      </c>
      <c r="E173" s="158" t="s">
        <v>739</v>
      </c>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57" t="s">
        <v>740</v>
      </c>
      <c r="B174" s="159" t="s">
        <v>741</v>
      </c>
      <c r="E174" s="158" t="s">
        <v>742</v>
      </c>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57" t="s">
        <v>743</v>
      </c>
      <c r="B175" s="159" t="s">
        <v>744</v>
      </c>
      <c r="E175" s="158" t="s">
        <v>745</v>
      </c>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57" t="s">
        <v>746</v>
      </c>
      <c r="B176" s="162" t="s">
        <v>747</v>
      </c>
      <c r="E176" s="158" t="s">
        <v>749</v>
      </c>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57" t="s">
        <v>752</v>
      </c>
      <c r="B177" s="159" t="s">
        <v>753</v>
      </c>
      <c r="E177" s="158" t="s">
        <v>754</v>
      </c>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57" t="s">
        <v>755</v>
      </c>
      <c r="B178" s="162" t="s">
        <v>756</v>
      </c>
      <c r="E178" s="158" t="s">
        <v>759</v>
      </c>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57" t="s">
        <v>760</v>
      </c>
      <c r="B179" s="162" t="s">
        <v>761</v>
      </c>
      <c r="E179" s="158" t="s">
        <v>762</v>
      </c>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57" t="s">
        <v>763</v>
      </c>
      <c r="B180" s="159" t="s">
        <v>764</v>
      </c>
      <c r="E180" s="158" t="s">
        <v>765</v>
      </c>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57" t="s">
        <v>766</v>
      </c>
      <c r="B181" s="162" t="s">
        <v>767</v>
      </c>
      <c r="E181" s="158" t="s">
        <v>768</v>
      </c>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57" t="s">
        <v>769</v>
      </c>
      <c r="B182" s="159" t="s">
        <v>770</v>
      </c>
      <c r="E182" s="158" t="s">
        <v>771</v>
      </c>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57" t="s">
        <v>772</v>
      </c>
      <c r="B183" s="162" t="s">
        <v>773</v>
      </c>
      <c r="E183" s="158" t="s">
        <v>774</v>
      </c>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55" t="s">
        <v>662</v>
      </c>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58" t="s">
        <v>775</v>
      </c>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58" t="s">
        <v>776</v>
      </c>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58" t="s">
        <v>777</v>
      </c>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58" t="s">
        <v>779</v>
      </c>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58"/>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55" t="s">
        <v>785</v>
      </c>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55" t="s">
        <v>791</v>
      </c>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56" t="s">
        <v>795</v>
      </c>
      <c r="B193" s="156" t="s">
        <v>796</v>
      </c>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57" t="s">
        <v>797</v>
      </c>
      <c r="B194" s="159" t="s">
        <v>798</v>
      </c>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57" t="s">
        <v>799</v>
      </c>
      <c r="B195" s="159" t="s">
        <v>800</v>
      </c>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57" t="s">
        <v>801</v>
      </c>
      <c r="B196" s="159" t="s">
        <v>802</v>
      </c>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57" t="s">
        <v>804</v>
      </c>
      <c r="B197" s="159" t="s">
        <v>805</v>
      </c>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57" t="s">
        <v>807</v>
      </c>
      <c r="B198" s="159" t="s">
        <v>808</v>
      </c>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55" t="s">
        <v>811</v>
      </c>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56" t="s">
        <v>813</v>
      </c>
      <c r="B201" s="156" t="s">
        <v>814</v>
      </c>
      <c r="C201" s="156" t="s">
        <v>815</v>
      </c>
      <c r="D201" s="156" t="s">
        <v>816</v>
      </c>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57" t="s">
        <v>817</v>
      </c>
      <c r="B202" s="157" t="s">
        <v>818</v>
      </c>
      <c r="C202" s="157" t="s">
        <v>818</v>
      </c>
      <c r="D202" s="159" t="s">
        <v>819</v>
      </c>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57" t="s">
        <v>820</v>
      </c>
      <c r="B203" s="157" t="s">
        <v>818</v>
      </c>
      <c r="C203" s="157" t="s">
        <v>818</v>
      </c>
      <c r="D203" s="159" t="s">
        <v>821</v>
      </c>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57" t="s">
        <v>822</v>
      </c>
      <c r="B204" s="157" t="s">
        <v>823</v>
      </c>
      <c r="C204" s="157" t="s">
        <v>818</v>
      </c>
      <c r="D204" s="159" t="s">
        <v>824</v>
      </c>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57" t="s">
        <v>198</v>
      </c>
      <c r="B205" s="157" t="s">
        <v>823</v>
      </c>
      <c r="C205" s="157" t="s">
        <v>823</v>
      </c>
      <c r="D205" s="159" t="s">
        <v>827</v>
      </c>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57" t="s">
        <v>829</v>
      </c>
      <c r="B206" s="157" t="s">
        <v>823</v>
      </c>
      <c r="C206" s="157" t="s">
        <v>818</v>
      </c>
      <c r="D206" s="159" t="s">
        <v>830</v>
      </c>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55" t="s">
        <v>831</v>
      </c>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55" t="s">
        <v>834</v>
      </c>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56" t="s">
        <v>778</v>
      </c>
      <c r="B210" s="156" t="s">
        <v>836</v>
      </c>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57" t="s">
        <v>837</v>
      </c>
      <c r="B211" s="157" t="s">
        <v>838</v>
      </c>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57" t="s">
        <v>839</v>
      </c>
      <c r="B212" s="157" t="s">
        <v>840</v>
      </c>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57" t="s">
        <v>841</v>
      </c>
      <c r="B213" s="157" t="s">
        <v>842</v>
      </c>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57" t="s">
        <v>843</v>
      </c>
      <c r="B214" s="157" t="s">
        <v>844</v>
      </c>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57" t="s">
        <v>845</v>
      </c>
      <c r="B215" s="157" t="s">
        <v>846</v>
      </c>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57" t="s">
        <v>847</v>
      </c>
      <c r="B216" s="157" t="s">
        <v>848</v>
      </c>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58" t="s">
        <v>849</v>
      </c>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55" t="s">
        <v>850</v>
      </c>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56" t="s">
        <v>851</v>
      </c>
      <c r="B220" s="156" t="s">
        <v>852</v>
      </c>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57" t="s">
        <v>659</v>
      </c>
      <c r="B221" s="157" t="s">
        <v>853</v>
      </c>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57" t="s">
        <v>854</v>
      </c>
      <c r="B222" s="157" t="s">
        <v>855</v>
      </c>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57" t="s">
        <v>856</v>
      </c>
      <c r="B223" s="157" t="s">
        <v>857</v>
      </c>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58" t="s">
        <v>858</v>
      </c>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55" t="s">
        <v>859</v>
      </c>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78" t="s">
        <v>851</v>
      </c>
      <c r="B227" s="78" t="s">
        <v>852</v>
      </c>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15" t="s">
        <v>35</v>
      </c>
      <c r="B228" s="115" t="s">
        <v>860</v>
      </c>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15" t="s">
        <v>659</v>
      </c>
      <c r="B229" s="115" t="s">
        <v>853</v>
      </c>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15" t="s">
        <v>854</v>
      </c>
      <c r="B230" s="115" t="s">
        <v>855</v>
      </c>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15" t="s">
        <v>856</v>
      </c>
      <c r="B231" s="115" t="s">
        <v>857</v>
      </c>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15" t="s">
        <v>861</v>
      </c>
      <c r="B232" s="115" t="s">
        <v>862</v>
      </c>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51"/>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0" t="s">
        <v>863</v>
      </c>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78" t="s">
        <v>851</v>
      </c>
      <c r="B235" s="78" t="s">
        <v>864</v>
      </c>
      <c r="C235" s="78" t="s">
        <v>865</v>
      </c>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15" t="s">
        <v>35</v>
      </c>
      <c r="B236" s="172">
        <v>0.35</v>
      </c>
      <c r="C236" s="117" t="s">
        <v>866</v>
      </c>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15" t="s">
        <v>854</v>
      </c>
      <c r="B237" s="172">
        <v>0.325</v>
      </c>
      <c r="C237" s="117" t="s">
        <v>867</v>
      </c>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15" t="s">
        <v>659</v>
      </c>
      <c r="B238" s="172">
        <v>0.275</v>
      </c>
      <c r="C238" s="117" t="s">
        <v>868</v>
      </c>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15" t="s">
        <v>856</v>
      </c>
      <c r="B239" s="172">
        <v>0.05</v>
      </c>
      <c r="C239" s="117" t="s">
        <v>869</v>
      </c>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15" t="s">
        <v>870</v>
      </c>
      <c r="B240" s="172">
        <v>1.0</v>
      </c>
      <c r="C240" s="17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74"/>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50" t="s">
        <v>871</v>
      </c>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56" t="s">
        <v>872</v>
      </c>
      <c r="B243" s="175">
        <v>0.04</v>
      </c>
      <c r="C243" s="175">
        <v>0.045</v>
      </c>
      <c r="D243" s="175">
        <v>0.05</v>
      </c>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76">
        <v>0.09</v>
      </c>
      <c r="B244" s="157" t="s">
        <v>873</v>
      </c>
      <c r="C244" s="157" t="s">
        <v>874</v>
      </c>
      <c r="D244" s="157" t="s">
        <v>875</v>
      </c>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76">
        <v>0.095</v>
      </c>
      <c r="B245" s="157" t="s">
        <v>876</v>
      </c>
      <c r="C245" s="157" t="s">
        <v>877</v>
      </c>
      <c r="D245" s="157" t="s">
        <v>878</v>
      </c>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76">
        <v>0.1</v>
      </c>
      <c r="B246" s="157" t="s">
        <v>879</v>
      </c>
      <c r="C246" s="157" t="s">
        <v>880</v>
      </c>
      <c r="D246" s="157" t="s">
        <v>881</v>
      </c>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55" t="s">
        <v>662</v>
      </c>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58" t="s">
        <v>883</v>
      </c>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58" t="s">
        <v>885</v>
      </c>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55" t="s">
        <v>891</v>
      </c>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56" t="s">
        <v>895</v>
      </c>
      <c r="B253" s="156" t="s">
        <v>896</v>
      </c>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59" t="s">
        <v>897</v>
      </c>
      <c r="B254" s="159" t="s">
        <v>899</v>
      </c>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59" t="s">
        <v>901</v>
      </c>
      <c r="B255" s="159" t="s">
        <v>902</v>
      </c>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59" t="s">
        <v>903</v>
      </c>
      <c r="B256" s="159" t="s">
        <v>904</v>
      </c>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59" t="s">
        <v>907</v>
      </c>
      <c r="B257" s="159" t="s">
        <v>908</v>
      </c>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59" t="s">
        <v>910</v>
      </c>
      <c r="B258" s="159" t="s">
        <v>911</v>
      </c>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59" t="s">
        <v>914</v>
      </c>
      <c r="B259" s="159" t="s">
        <v>916</v>
      </c>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59" t="s">
        <v>922</v>
      </c>
      <c r="B260" s="159" t="s">
        <v>924</v>
      </c>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59" t="s">
        <v>927</v>
      </c>
      <c r="B261" s="159" t="s">
        <v>929</v>
      </c>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59" t="s">
        <v>931</v>
      </c>
      <c r="B262" s="159" t="s">
        <v>932</v>
      </c>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59" t="s">
        <v>934</v>
      </c>
      <c r="B263" s="159" t="s">
        <v>935</v>
      </c>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59" t="s">
        <v>937</v>
      </c>
      <c r="B264" s="159" t="s">
        <v>938</v>
      </c>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59" t="s">
        <v>941</v>
      </c>
      <c r="B265" s="159" t="s">
        <v>942</v>
      </c>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59" t="s">
        <v>945</v>
      </c>
      <c r="B266" s="159" t="s">
        <v>946</v>
      </c>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78" t="s">
        <v>952</v>
      </c>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21" t="s">
        <v>956</v>
      </c>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56" t="s">
        <v>325</v>
      </c>
      <c r="B271" s="156" t="s">
        <v>170</v>
      </c>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57" t="s">
        <v>960</v>
      </c>
      <c r="B272" s="180" t="s">
        <v>961</v>
      </c>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57" t="s">
        <v>962</v>
      </c>
      <c r="B273" s="157" t="s">
        <v>963</v>
      </c>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57" t="s">
        <v>965</v>
      </c>
      <c r="B274" s="157" t="s">
        <v>781</v>
      </c>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57" t="s">
        <v>967</v>
      </c>
      <c r="B275" s="157" t="s">
        <v>968</v>
      </c>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57" t="s">
        <v>971</v>
      </c>
      <c r="B276" s="176">
        <v>-0.382</v>
      </c>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57" t="s">
        <v>245</v>
      </c>
      <c r="B277" s="157" t="s">
        <v>975</v>
      </c>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83" t="s">
        <v>983</v>
      </c>
      <c r="B279" s="3"/>
      <c r="C279" s="3"/>
      <c r="D279" s="3"/>
      <c r="E279" s="3"/>
      <c r="F279" s="3"/>
      <c r="G279" s="3"/>
      <c r="H279" s="13"/>
      <c r="I279" s="13"/>
      <c r="J279" s="13"/>
      <c r="K279" s="13"/>
      <c r="L279" s="13"/>
      <c r="M279" s="13"/>
      <c r="N279" s="13"/>
      <c r="O279" s="13"/>
      <c r="P279" s="13"/>
      <c r="Q279" s="13"/>
      <c r="R279" s="13"/>
      <c r="S279" s="13"/>
      <c r="T279" s="13"/>
      <c r="U279" s="13"/>
      <c r="V279" s="13"/>
      <c r="W279" s="13"/>
      <c r="X279" s="13"/>
      <c r="Y279" s="13"/>
      <c r="Z279" s="13"/>
      <c r="AA279" s="13"/>
      <c r="AB279" s="13"/>
    </row>
    <row r="280">
      <c r="A280" s="78" t="s">
        <v>244</v>
      </c>
      <c r="B280" s="78" t="s">
        <v>344</v>
      </c>
      <c r="C280" s="78" t="s">
        <v>569</v>
      </c>
      <c r="D280" s="78" t="s">
        <v>353</v>
      </c>
      <c r="E280" s="78" t="s">
        <v>356</v>
      </c>
      <c r="F280" s="78" t="s">
        <v>659</v>
      </c>
      <c r="G280" s="78" t="s">
        <v>854</v>
      </c>
      <c r="H280" s="13"/>
      <c r="I280" s="13"/>
      <c r="J280" s="13"/>
      <c r="K280" s="13"/>
      <c r="L280" s="13"/>
      <c r="M280" s="13"/>
      <c r="N280" s="13"/>
      <c r="O280" s="13"/>
      <c r="P280" s="13"/>
      <c r="Q280" s="13"/>
      <c r="R280" s="13"/>
      <c r="S280" s="13"/>
      <c r="T280" s="13"/>
      <c r="U280" s="13"/>
      <c r="V280" s="13"/>
      <c r="W280" s="13"/>
      <c r="X280" s="13"/>
      <c r="Y280" s="13"/>
      <c r="Z280" s="13"/>
      <c r="AA280" s="13"/>
      <c r="AB280" s="13"/>
    </row>
    <row r="281">
      <c r="A281" s="115" t="s">
        <v>173</v>
      </c>
      <c r="B281" s="182">
        <v>0.12</v>
      </c>
      <c r="C281" s="182">
        <v>0.264</v>
      </c>
      <c r="D281" s="182">
        <v>0.173</v>
      </c>
      <c r="E281" s="182">
        <v>0.222</v>
      </c>
      <c r="F281" s="115" t="s">
        <v>997</v>
      </c>
      <c r="G281" s="115" t="s">
        <v>999</v>
      </c>
      <c r="H281" s="13"/>
      <c r="I281" s="13"/>
      <c r="J281" s="13"/>
      <c r="K281" s="13"/>
      <c r="L281" s="13"/>
      <c r="M281" s="13"/>
      <c r="N281" s="13"/>
      <c r="O281" s="13"/>
      <c r="P281" s="13"/>
      <c r="Q281" s="13"/>
      <c r="R281" s="13"/>
      <c r="S281" s="13"/>
      <c r="T281" s="13"/>
      <c r="U281" s="13"/>
      <c r="V281" s="13"/>
      <c r="W281" s="13"/>
      <c r="X281" s="13"/>
      <c r="Y281" s="13"/>
      <c r="Z281" s="13"/>
      <c r="AA281" s="13"/>
      <c r="AB281" s="13"/>
    </row>
    <row r="282">
      <c r="A282" s="115" t="s">
        <v>1002</v>
      </c>
      <c r="B282" s="182">
        <v>0.063</v>
      </c>
      <c r="C282" s="182">
        <v>0.452</v>
      </c>
      <c r="D282" s="182">
        <v>0.387</v>
      </c>
      <c r="E282" s="182">
        <v>0.407</v>
      </c>
      <c r="F282" s="115" t="s">
        <v>1004</v>
      </c>
      <c r="G282" s="115" t="s">
        <v>1005</v>
      </c>
      <c r="H282" s="13"/>
      <c r="I282" s="13"/>
      <c r="J282" s="13"/>
      <c r="K282" s="13"/>
      <c r="L282" s="13"/>
      <c r="M282" s="13"/>
      <c r="N282" s="13"/>
      <c r="O282" s="13"/>
      <c r="P282" s="13"/>
      <c r="Q282" s="13"/>
      <c r="R282" s="13"/>
      <c r="S282" s="13"/>
      <c r="T282" s="13"/>
      <c r="U282" s="13"/>
      <c r="V282" s="13"/>
      <c r="W282" s="13"/>
      <c r="X282" s="13"/>
      <c r="Y282" s="13"/>
      <c r="Z282" s="13"/>
      <c r="AA282" s="13"/>
      <c r="AB282" s="13"/>
    </row>
    <row r="283">
      <c r="A283" s="115" t="s">
        <v>1006</v>
      </c>
      <c r="B283" s="182">
        <v>0.193</v>
      </c>
      <c r="C283" s="182">
        <v>0.407</v>
      </c>
      <c r="D283" s="182">
        <v>0.223</v>
      </c>
      <c r="E283" s="182">
        <v>0.184</v>
      </c>
      <c r="F283" s="115" t="s">
        <v>1007</v>
      </c>
      <c r="G283" s="115" t="s">
        <v>1008</v>
      </c>
      <c r="H283" s="13"/>
      <c r="I283" s="13"/>
      <c r="J283" s="13"/>
      <c r="K283" s="13"/>
      <c r="L283" s="13"/>
      <c r="M283" s="13"/>
      <c r="N283" s="13"/>
      <c r="O283" s="13"/>
      <c r="P283" s="13"/>
      <c r="Q283" s="13"/>
      <c r="R283" s="13"/>
      <c r="S283" s="13"/>
      <c r="T283" s="13"/>
      <c r="U283" s="13"/>
      <c r="V283" s="13"/>
      <c r="W283" s="13"/>
      <c r="X283" s="13"/>
      <c r="Y283" s="13"/>
      <c r="Z283" s="13"/>
      <c r="AA283" s="13"/>
      <c r="AB283" s="13"/>
    </row>
    <row r="284">
      <c r="A284" s="115" t="s">
        <v>1009</v>
      </c>
      <c r="B284" s="182">
        <v>0.351</v>
      </c>
      <c r="C284" s="182">
        <v>0.232</v>
      </c>
      <c r="D284" s="182">
        <v>0.133</v>
      </c>
      <c r="E284" s="182">
        <v>0.119</v>
      </c>
      <c r="F284" s="115" t="s">
        <v>1010</v>
      </c>
      <c r="G284" s="115" t="s">
        <v>1011</v>
      </c>
      <c r="H284" s="13"/>
      <c r="I284" s="13"/>
      <c r="J284" s="13"/>
      <c r="K284" s="13"/>
      <c r="L284" s="13"/>
      <c r="M284" s="13"/>
      <c r="N284" s="13"/>
      <c r="O284" s="13"/>
      <c r="P284" s="13"/>
      <c r="Q284" s="13"/>
      <c r="R284" s="13"/>
      <c r="S284" s="13"/>
      <c r="T284" s="13"/>
      <c r="U284" s="13"/>
      <c r="V284" s="13"/>
      <c r="W284" s="13"/>
      <c r="X284" s="13"/>
      <c r="Y284" s="13"/>
      <c r="Z284" s="13"/>
      <c r="AA284" s="13"/>
      <c r="AB284" s="13"/>
    </row>
    <row r="285">
      <c r="A285" s="115" t="s">
        <v>1012</v>
      </c>
      <c r="B285" s="182">
        <v>0.635</v>
      </c>
      <c r="C285" s="182">
        <v>0.702</v>
      </c>
      <c r="D285" s="182">
        <v>0.36</v>
      </c>
      <c r="E285" s="182">
        <v>0.49</v>
      </c>
      <c r="F285" s="115" t="s">
        <v>1013</v>
      </c>
      <c r="G285" s="115" t="s">
        <v>1014</v>
      </c>
      <c r="H285" s="13"/>
      <c r="I285" s="13"/>
      <c r="J285" s="13"/>
      <c r="K285" s="13"/>
      <c r="L285" s="13"/>
      <c r="M285" s="13"/>
      <c r="N285" s="13"/>
      <c r="O285" s="13"/>
      <c r="P285" s="13"/>
      <c r="Q285" s="13"/>
      <c r="R285" s="13"/>
      <c r="S285" s="13"/>
      <c r="T285" s="13"/>
      <c r="U285" s="13"/>
      <c r="V285" s="13"/>
      <c r="W285" s="13"/>
      <c r="X285" s="13"/>
      <c r="Y285" s="13"/>
      <c r="Z285" s="13"/>
      <c r="AA285" s="13"/>
      <c r="AB285" s="13"/>
    </row>
    <row r="286">
      <c r="A286" s="115" t="s">
        <v>1015</v>
      </c>
      <c r="B286" s="182">
        <v>0.193</v>
      </c>
      <c r="C286" s="182">
        <v>0.407</v>
      </c>
      <c r="D286" s="182">
        <v>0.223</v>
      </c>
      <c r="E286" s="182">
        <v>0.222</v>
      </c>
      <c r="F286" s="115" t="s">
        <v>997</v>
      </c>
      <c r="G286" s="115" t="s">
        <v>999</v>
      </c>
      <c r="H286" s="13"/>
      <c r="I286" s="13"/>
      <c r="J286" s="13"/>
      <c r="K286" s="13"/>
      <c r="L286" s="13"/>
      <c r="M286" s="13"/>
      <c r="N286" s="13"/>
      <c r="O286" s="13"/>
      <c r="P286" s="13"/>
      <c r="Q286" s="13"/>
      <c r="R286" s="13"/>
      <c r="S286" s="13"/>
      <c r="T286" s="13"/>
      <c r="U286" s="13"/>
      <c r="V286" s="13"/>
      <c r="W286" s="13"/>
      <c r="X286" s="13"/>
      <c r="Y286" s="13"/>
      <c r="Z286" s="13"/>
      <c r="AA286" s="13"/>
      <c r="AB286" s="13"/>
    </row>
    <row r="287">
      <c r="A287" s="3"/>
      <c r="B287" s="3"/>
      <c r="C287" s="3"/>
      <c r="D287" s="3"/>
      <c r="E287" s="3"/>
      <c r="F287" s="3"/>
      <c r="G287" s="3"/>
      <c r="H287" s="13"/>
      <c r="I287" s="13"/>
      <c r="J287" s="13"/>
      <c r="K287" s="13"/>
      <c r="L287" s="13"/>
      <c r="M287" s="13"/>
      <c r="N287" s="13"/>
      <c r="O287" s="13"/>
      <c r="P287" s="13"/>
      <c r="Q287" s="13"/>
      <c r="R287" s="13"/>
      <c r="S287" s="13"/>
      <c r="T287" s="13"/>
      <c r="U287" s="13"/>
      <c r="V287" s="13"/>
      <c r="W287" s="13"/>
      <c r="X287" s="13"/>
      <c r="Y287" s="13"/>
      <c r="Z287" s="13"/>
      <c r="AA287" s="13"/>
      <c r="AB287" s="13"/>
    </row>
    <row r="288">
      <c r="A288" s="183" t="s">
        <v>1016</v>
      </c>
      <c r="B288" s="3"/>
      <c r="C288" s="3"/>
      <c r="D288" s="3"/>
      <c r="E288" s="3"/>
      <c r="F288" s="3"/>
      <c r="G288" s="3"/>
      <c r="H288" s="13"/>
      <c r="I288" s="13"/>
      <c r="J288" s="13"/>
      <c r="K288" s="13"/>
      <c r="L288" s="13"/>
      <c r="M288" s="13"/>
      <c r="N288" s="13"/>
      <c r="O288" s="13"/>
      <c r="P288" s="13"/>
      <c r="Q288" s="13"/>
      <c r="R288" s="13"/>
      <c r="S288" s="13"/>
      <c r="T288" s="13"/>
      <c r="U288" s="13"/>
      <c r="V288" s="13"/>
      <c r="W288" s="13"/>
      <c r="X288" s="13"/>
      <c r="Y288" s="13"/>
      <c r="Z288" s="13"/>
      <c r="AA288" s="13"/>
      <c r="AB288" s="13"/>
    </row>
    <row r="289">
      <c r="A289" s="78" t="s">
        <v>325</v>
      </c>
      <c r="B289" s="78" t="s">
        <v>1017</v>
      </c>
      <c r="C289" s="78" t="s">
        <v>1015</v>
      </c>
      <c r="D289" s="3"/>
      <c r="E289" s="3"/>
      <c r="F289" s="3"/>
      <c r="G289" s="3"/>
      <c r="H289" s="13"/>
      <c r="I289" s="13"/>
      <c r="J289" s="13"/>
      <c r="K289" s="13"/>
      <c r="L289" s="13"/>
      <c r="M289" s="13"/>
      <c r="N289" s="13"/>
      <c r="O289" s="13"/>
      <c r="P289" s="13"/>
      <c r="Q289" s="13"/>
      <c r="R289" s="13"/>
      <c r="S289" s="13"/>
      <c r="T289" s="13"/>
      <c r="U289" s="13"/>
      <c r="V289" s="13"/>
      <c r="W289" s="13"/>
      <c r="X289" s="13"/>
      <c r="Y289" s="13"/>
      <c r="Z289" s="13"/>
      <c r="AA289" s="13"/>
      <c r="AB289" s="13"/>
    </row>
    <row r="290">
      <c r="A290" s="115" t="s">
        <v>344</v>
      </c>
      <c r="B290" s="182">
        <v>0.132</v>
      </c>
      <c r="C290" s="182">
        <v>0.193</v>
      </c>
      <c r="D290" s="3"/>
      <c r="E290" s="3"/>
      <c r="F290" s="3"/>
      <c r="G290" s="3"/>
      <c r="H290" s="13"/>
      <c r="I290" s="13"/>
      <c r="J290" s="13"/>
      <c r="K290" s="13"/>
      <c r="L290" s="13"/>
      <c r="M290" s="13"/>
      <c r="N290" s="13"/>
      <c r="O290" s="13"/>
      <c r="P290" s="13"/>
      <c r="Q290" s="13"/>
      <c r="R290" s="13"/>
      <c r="S290" s="13"/>
      <c r="T290" s="13"/>
      <c r="U290" s="13"/>
      <c r="V290" s="13"/>
      <c r="W290" s="13"/>
      <c r="X290" s="13"/>
      <c r="Y290" s="13"/>
      <c r="Z290" s="13"/>
      <c r="AA290" s="13"/>
      <c r="AB290" s="13"/>
    </row>
    <row r="291">
      <c r="A291" s="115" t="s">
        <v>569</v>
      </c>
      <c r="B291" s="182">
        <v>0.685</v>
      </c>
      <c r="C291" s="182">
        <v>0.407</v>
      </c>
      <c r="D291" s="3"/>
      <c r="E291" s="3"/>
      <c r="F291" s="3"/>
      <c r="G291" s="3"/>
      <c r="H291" s="13"/>
      <c r="I291" s="13"/>
      <c r="J291" s="13"/>
      <c r="K291" s="13"/>
      <c r="L291" s="13"/>
      <c r="M291" s="13"/>
      <c r="N291" s="13"/>
      <c r="O291" s="13"/>
      <c r="P291" s="13"/>
      <c r="Q291" s="13"/>
      <c r="R291" s="13"/>
      <c r="S291" s="13"/>
      <c r="T291" s="13"/>
      <c r="U291" s="13"/>
      <c r="V291" s="13"/>
      <c r="W291" s="13"/>
      <c r="X291" s="13"/>
      <c r="Y291" s="13"/>
      <c r="Z291" s="13"/>
      <c r="AA291" s="13"/>
      <c r="AB291" s="13"/>
    </row>
    <row r="292">
      <c r="A292" s="115" t="s">
        <v>353</v>
      </c>
      <c r="B292" s="182">
        <v>0.313</v>
      </c>
      <c r="C292" s="182">
        <v>0.223</v>
      </c>
      <c r="D292" s="3"/>
      <c r="E292" s="3"/>
      <c r="F292" s="3"/>
      <c r="G292" s="3"/>
      <c r="H292" s="13"/>
      <c r="I292" s="13"/>
      <c r="J292" s="13"/>
      <c r="K292" s="13"/>
      <c r="L292" s="13"/>
      <c r="M292" s="13"/>
      <c r="N292" s="13"/>
      <c r="O292" s="13"/>
      <c r="P292" s="13"/>
      <c r="Q292" s="13"/>
      <c r="R292" s="13"/>
      <c r="S292" s="13"/>
      <c r="T292" s="13"/>
      <c r="U292" s="13"/>
      <c r="V292" s="13"/>
      <c r="W292" s="13"/>
      <c r="X292" s="13"/>
      <c r="Y292" s="13"/>
      <c r="Z292" s="13"/>
      <c r="AA292" s="13"/>
      <c r="AB292" s="13"/>
    </row>
    <row r="293">
      <c r="A293" s="115" t="s">
        <v>356</v>
      </c>
      <c r="B293" s="182">
        <v>0.369</v>
      </c>
      <c r="C293" s="182">
        <v>0.222</v>
      </c>
      <c r="D293" s="3"/>
      <c r="E293" s="3"/>
      <c r="F293" s="3"/>
      <c r="G293" s="3"/>
      <c r="H293" s="13"/>
      <c r="I293" s="13"/>
      <c r="J293" s="13"/>
      <c r="K293" s="13"/>
      <c r="L293" s="13"/>
      <c r="M293" s="13"/>
      <c r="N293" s="13"/>
      <c r="O293" s="13"/>
      <c r="P293" s="13"/>
      <c r="Q293" s="13"/>
      <c r="R293" s="13"/>
      <c r="S293" s="13"/>
      <c r="T293" s="13"/>
      <c r="U293" s="13"/>
      <c r="V293" s="13"/>
      <c r="W293" s="13"/>
      <c r="X293" s="13"/>
      <c r="Y293" s="13"/>
      <c r="Z293" s="13"/>
      <c r="AA293" s="13"/>
      <c r="AB293" s="13"/>
    </row>
    <row r="294">
      <c r="A294" s="115" t="s">
        <v>659</v>
      </c>
      <c r="B294" s="115" t="s">
        <v>1020</v>
      </c>
      <c r="C294" s="115" t="s">
        <v>997</v>
      </c>
      <c r="D294" s="3"/>
      <c r="E294" s="3"/>
      <c r="F294" s="3"/>
      <c r="G294" s="3"/>
      <c r="H294" s="13"/>
      <c r="I294" s="13"/>
      <c r="J294" s="13"/>
      <c r="K294" s="13"/>
      <c r="L294" s="13"/>
      <c r="M294" s="13"/>
      <c r="N294" s="13"/>
      <c r="O294" s="13"/>
      <c r="P294" s="13"/>
      <c r="Q294" s="13"/>
      <c r="R294" s="13"/>
      <c r="S294" s="13"/>
      <c r="T294" s="13"/>
      <c r="U294" s="13"/>
      <c r="V294" s="13"/>
      <c r="W294" s="13"/>
      <c r="X294" s="13"/>
      <c r="Y294" s="13"/>
      <c r="Z294" s="13"/>
      <c r="AA294" s="13"/>
      <c r="AB294" s="13"/>
    </row>
    <row r="295">
      <c r="A295" s="115" t="s">
        <v>854</v>
      </c>
      <c r="B295" s="115" t="s">
        <v>1021</v>
      </c>
      <c r="C295" s="115" t="s">
        <v>999</v>
      </c>
      <c r="D295" s="3"/>
      <c r="E295" s="3"/>
      <c r="F295" s="3"/>
      <c r="G295" s="3"/>
      <c r="H295" s="13"/>
      <c r="I295" s="13"/>
      <c r="J295" s="13"/>
      <c r="K295" s="13"/>
      <c r="L295" s="13"/>
      <c r="M295" s="13"/>
      <c r="N295" s="13"/>
      <c r="O295" s="13"/>
      <c r="P295" s="13"/>
      <c r="Q295" s="13"/>
      <c r="R295" s="13"/>
      <c r="S295" s="13"/>
      <c r="T295" s="13"/>
      <c r="U295" s="13"/>
      <c r="V295" s="13"/>
      <c r="W295" s="13"/>
      <c r="X295" s="13"/>
      <c r="Y295" s="13"/>
      <c r="Z295" s="13"/>
      <c r="AA295" s="13"/>
      <c r="AB295" s="13"/>
    </row>
    <row r="296">
      <c r="A296" s="3"/>
      <c r="B296" s="3"/>
      <c r="C296" s="3"/>
      <c r="D296" s="3"/>
      <c r="E296" s="3"/>
      <c r="F296" s="3"/>
      <c r="G296" s="3"/>
      <c r="H296" s="13"/>
      <c r="I296" s="13"/>
      <c r="J296" s="13"/>
      <c r="K296" s="13"/>
      <c r="L296" s="13"/>
      <c r="M296" s="13"/>
      <c r="N296" s="13"/>
      <c r="O296" s="13"/>
      <c r="P296" s="13"/>
      <c r="Q296" s="13"/>
      <c r="R296" s="13"/>
      <c r="S296" s="13"/>
      <c r="T296" s="13"/>
      <c r="U296" s="13"/>
      <c r="V296" s="13"/>
      <c r="W296" s="13"/>
      <c r="X296" s="13"/>
      <c r="Y296" s="13"/>
      <c r="Z296" s="13"/>
      <c r="AA296" s="13"/>
      <c r="AB296" s="13"/>
    </row>
    <row r="297">
      <c r="A297" s="121" t="s">
        <v>1023</v>
      </c>
      <c r="B297" s="184"/>
      <c r="C297" s="3"/>
      <c r="D297" s="3"/>
      <c r="E297" s="3"/>
      <c r="F297" s="3"/>
      <c r="G297" s="3"/>
      <c r="H297" s="13"/>
      <c r="I297" s="13"/>
      <c r="J297" s="13"/>
      <c r="K297" s="13"/>
      <c r="L297" s="13"/>
      <c r="M297" s="13"/>
      <c r="N297" s="13"/>
      <c r="O297" s="13"/>
      <c r="P297" s="13"/>
      <c r="Q297" s="13"/>
      <c r="R297" s="13"/>
      <c r="S297" s="13"/>
      <c r="T297" s="13"/>
      <c r="U297" s="13"/>
      <c r="V297" s="13"/>
      <c r="W297" s="13"/>
      <c r="X297" s="13"/>
      <c r="Y297" s="13"/>
      <c r="Z297" s="13"/>
      <c r="AA297" s="13"/>
      <c r="AB297" s="13"/>
    </row>
    <row r="298">
      <c r="A298" s="115" t="s">
        <v>1024</v>
      </c>
      <c r="B298" s="115" t="s">
        <v>1025</v>
      </c>
      <c r="C298" s="3"/>
      <c r="D298" s="3"/>
      <c r="E298" s="3"/>
      <c r="F298" s="3"/>
      <c r="G298" s="3"/>
      <c r="H298" s="13"/>
      <c r="I298" s="13"/>
      <c r="J298" s="13"/>
      <c r="K298" s="13"/>
      <c r="L298" s="13"/>
      <c r="M298" s="13"/>
      <c r="N298" s="13"/>
      <c r="O298" s="13"/>
      <c r="P298" s="13"/>
      <c r="Q298" s="13"/>
      <c r="R298" s="13"/>
      <c r="S298" s="13"/>
      <c r="T298" s="13"/>
      <c r="U298" s="13"/>
      <c r="V298" s="13"/>
      <c r="W298" s="13"/>
      <c r="X298" s="13"/>
      <c r="Y298" s="13"/>
      <c r="Z298" s="13"/>
      <c r="AA298" s="13"/>
      <c r="AB298" s="13"/>
    </row>
    <row r="299">
      <c r="A299" s="115" t="s">
        <v>1027</v>
      </c>
      <c r="B299" s="115" t="s">
        <v>1028</v>
      </c>
      <c r="C299" s="3"/>
      <c r="D299" s="3"/>
      <c r="E299" s="3"/>
      <c r="F299" s="3"/>
      <c r="G299" s="3"/>
      <c r="H299" s="13"/>
      <c r="I299" s="13"/>
      <c r="J299" s="13"/>
      <c r="K299" s="13"/>
      <c r="L299" s="13"/>
      <c r="M299" s="13"/>
      <c r="N299" s="13"/>
      <c r="O299" s="13"/>
      <c r="P299" s="13"/>
      <c r="Q299" s="13"/>
      <c r="R299" s="13"/>
      <c r="S299" s="13"/>
      <c r="T299" s="13"/>
      <c r="U299" s="13"/>
      <c r="V299" s="13"/>
      <c r="W299" s="13"/>
      <c r="X299" s="13"/>
      <c r="Y299" s="13"/>
      <c r="Z299" s="13"/>
      <c r="AA299" s="13"/>
      <c r="AB299" s="13"/>
    </row>
    <row r="300">
      <c r="A300" s="115" t="s">
        <v>1030</v>
      </c>
      <c r="B300" s="115" t="s">
        <v>1031</v>
      </c>
      <c r="C300" s="3"/>
      <c r="D300" s="3"/>
      <c r="E300" s="3"/>
      <c r="F300" s="3"/>
      <c r="G300" s="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21" t="s">
        <v>750</v>
      </c>
      <c r="B302" s="15" t="s">
        <v>751</v>
      </c>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45"/>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45"/>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45"/>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45"/>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45"/>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45"/>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sheetData>
  <mergeCells count="1">
    <mergeCell ref="B172:D172"/>
  </mergeCells>
  <hyperlinks>
    <hyperlink r:id="rId1" ref="B176"/>
    <hyperlink r:id="rId2" ref="B178"/>
    <hyperlink r:id="rId3" ref="B179"/>
    <hyperlink r:id="rId4" ref="B181"/>
    <hyperlink r:id="rId5" ref="B183"/>
    <hyperlink r:id="rId6" ref="B302"/>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7.38"/>
  </cols>
  <sheetData>
    <row r="1">
      <c r="A1" s="161" t="s">
        <v>748</v>
      </c>
    </row>
    <row r="3">
      <c r="A3" s="29" t="s">
        <v>750</v>
      </c>
      <c r="B3" s="68" t="s">
        <v>751</v>
      </c>
    </row>
    <row r="4">
      <c r="A4" s="62"/>
    </row>
    <row r="5">
      <c r="A5" s="163" t="s">
        <v>757</v>
      </c>
      <c r="B5" s="164" t="s">
        <v>758</v>
      </c>
    </row>
    <row r="6">
      <c r="A6" s="62"/>
    </row>
    <row r="7">
      <c r="A7" s="62"/>
    </row>
    <row r="8">
      <c r="A8" s="62"/>
    </row>
  </sheetData>
  <hyperlinks>
    <hyperlink r:id="rId1" ref="B3"/>
    <hyperlink r:id="rId2" ref="B5"/>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02.38"/>
    <col customWidth="1" min="3" max="3" width="14.75"/>
  </cols>
  <sheetData>
    <row r="1">
      <c r="A1" s="165" t="s">
        <v>778</v>
      </c>
      <c r="B1" s="165" t="s">
        <v>170</v>
      </c>
      <c r="C1" s="166" t="s">
        <v>156</v>
      </c>
      <c r="D1" s="3"/>
      <c r="E1" s="3"/>
      <c r="F1" s="3"/>
      <c r="G1" s="3"/>
    </row>
    <row r="2">
      <c r="A2" s="6" t="s">
        <v>780</v>
      </c>
      <c r="B2" s="6" t="s">
        <v>781</v>
      </c>
      <c r="C2" s="6" t="s">
        <v>782</v>
      </c>
      <c r="D2" s="3"/>
      <c r="E2" s="3"/>
      <c r="F2" s="3"/>
      <c r="G2" s="3"/>
    </row>
    <row r="3">
      <c r="A3" s="6" t="s">
        <v>783</v>
      </c>
      <c r="B3" s="6" t="s">
        <v>784</v>
      </c>
      <c r="C3" s="6" t="s">
        <v>782</v>
      </c>
      <c r="D3" s="3"/>
      <c r="E3" s="3"/>
      <c r="F3" s="3"/>
      <c r="G3" s="3"/>
    </row>
    <row r="4">
      <c r="A4" s="6" t="s">
        <v>786</v>
      </c>
      <c r="B4" s="6" t="s">
        <v>787</v>
      </c>
      <c r="C4" s="6" t="s">
        <v>788</v>
      </c>
      <c r="D4" s="3"/>
      <c r="E4" s="3"/>
      <c r="F4" s="3"/>
      <c r="G4" s="3"/>
    </row>
    <row r="5">
      <c r="A5" s="6" t="s">
        <v>789</v>
      </c>
      <c r="B5" s="6" t="s">
        <v>790</v>
      </c>
      <c r="C5" s="6" t="s">
        <v>788</v>
      </c>
      <c r="D5" s="3"/>
      <c r="E5" s="3"/>
      <c r="F5" s="3"/>
      <c r="G5" s="3"/>
    </row>
    <row r="6">
      <c r="A6" s="6" t="s">
        <v>792</v>
      </c>
      <c r="B6" s="6" t="s">
        <v>793</v>
      </c>
      <c r="C6" s="167" t="s">
        <v>794</v>
      </c>
      <c r="D6" s="3"/>
      <c r="E6" s="3"/>
      <c r="F6" s="3"/>
      <c r="G6" s="3"/>
    </row>
    <row r="7">
      <c r="A7" s="3"/>
      <c r="B7" s="3"/>
      <c r="C7" s="3"/>
      <c r="D7" s="3"/>
      <c r="E7" s="3"/>
      <c r="F7" s="3"/>
      <c r="G7" s="3"/>
    </row>
    <row r="8">
      <c r="A8" s="168" t="s">
        <v>803</v>
      </c>
      <c r="B8" s="3"/>
      <c r="C8" s="3"/>
      <c r="D8" s="3"/>
      <c r="E8" s="3"/>
      <c r="F8" s="3"/>
      <c r="G8" s="3"/>
    </row>
    <row r="9">
      <c r="A9" s="169" t="s">
        <v>806</v>
      </c>
      <c r="B9" s="3"/>
      <c r="C9" s="3"/>
      <c r="D9" s="3"/>
      <c r="E9" s="3"/>
      <c r="F9" s="3"/>
      <c r="G9" s="3"/>
    </row>
    <row r="10">
      <c r="A10" s="3"/>
      <c r="B10" s="3"/>
      <c r="C10" s="3"/>
      <c r="D10" s="3"/>
      <c r="E10" s="3"/>
      <c r="F10" s="3"/>
      <c r="G10" s="3"/>
    </row>
    <row r="11">
      <c r="A11" s="170" t="s">
        <v>809</v>
      </c>
      <c r="B11" s="3"/>
      <c r="C11" s="3"/>
      <c r="D11" s="3"/>
      <c r="E11" s="3"/>
      <c r="F11" s="3"/>
      <c r="G11" s="3"/>
    </row>
    <row r="12">
      <c r="A12" s="21" t="s">
        <v>810</v>
      </c>
      <c r="B12" s="3"/>
      <c r="C12" s="3"/>
      <c r="D12" s="3"/>
      <c r="E12" s="3"/>
      <c r="F12" s="3"/>
      <c r="G12" s="3"/>
    </row>
    <row r="13">
      <c r="A13" s="3"/>
      <c r="B13" s="3"/>
      <c r="C13" s="3"/>
      <c r="D13" s="3"/>
      <c r="E13" s="3"/>
      <c r="F13" s="3"/>
      <c r="G13" s="3"/>
    </row>
    <row r="14">
      <c r="A14" s="69" t="s">
        <v>812</v>
      </c>
      <c r="B14" s="69" t="s">
        <v>617</v>
      </c>
      <c r="C14" s="69" t="s">
        <v>618</v>
      </c>
      <c r="D14" s="69" t="s">
        <v>619</v>
      </c>
      <c r="E14" s="69" t="s">
        <v>620</v>
      </c>
      <c r="F14" s="69" t="s">
        <v>621</v>
      </c>
      <c r="G14" s="29" t="s">
        <v>468</v>
      </c>
    </row>
    <row r="15">
      <c r="A15" s="6" t="s">
        <v>154</v>
      </c>
      <c r="B15" s="79">
        <v>41480.33</v>
      </c>
      <c r="C15" s="79">
        <v>45059.96</v>
      </c>
      <c r="D15" s="79">
        <v>64095.7</v>
      </c>
      <c r="E15" s="79">
        <v>84820.91</v>
      </c>
      <c r="F15" s="79">
        <v>96045.23</v>
      </c>
      <c r="G15" s="171"/>
    </row>
    <row r="16">
      <c r="A16" s="6" t="s">
        <v>622</v>
      </c>
      <c r="B16" s="79">
        <v>34745.51</v>
      </c>
      <c r="C16" s="79">
        <v>36035.77</v>
      </c>
      <c r="D16" s="79">
        <v>49403.03</v>
      </c>
      <c r="E16" s="79">
        <v>63414.25</v>
      </c>
      <c r="F16" s="79">
        <v>65785.93</v>
      </c>
      <c r="G16" s="171"/>
    </row>
    <row r="17">
      <c r="A17" s="6" t="s">
        <v>630</v>
      </c>
      <c r="B17" s="79">
        <v>33735.49</v>
      </c>
      <c r="C17" s="79">
        <v>34449.44</v>
      </c>
      <c r="D17" s="79">
        <v>47281.14</v>
      </c>
      <c r="E17" s="79">
        <v>59358.76</v>
      </c>
      <c r="F17" s="79">
        <v>60369.24</v>
      </c>
      <c r="G17" s="171"/>
    </row>
    <row r="18">
      <c r="A18" s="6" t="s">
        <v>825</v>
      </c>
      <c r="B18" s="79">
        <v>1010.02</v>
      </c>
      <c r="C18" s="79">
        <v>1586.33</v>
      </c>
      <c r="D18" s="79">
        <v>2121.89</v>
      </c>
      <c r="E18" s="79">
        <v>4055.49</v>
      </c>
      <c r="F18" s="79">
        <v>5416.69</v>
      </c>
      <c r="G18" s="171"/>
    </row>
    <row r="19">
      <c r="A19" s="6" t="s">
        <v>826</v>
      </c>
      <c r="B19" s="79">
        <v>7358.43</v>
      </c>
      <c r="C19" s="79">
        <v>7240.72</v>
      </c>
      <c r="D19" s="79">
        <v>10947.49</v>
      </c>
      <c r="E19" s="79">
        <v>13143.73</v>
      </c>
      <c r="F19" s="79">
        <v>13534.47</v>
      </c>
      <c r="G19" s="171"/>
    </row>
    <row r="20">
      <c r="A20" s="6" t="s">
        <v>670</v>
      </c>
      <c r="B20" s="6">
        <v>1385.0</v>
      </c>
      <c r="C20" s="6">
        <v>19430.0</v>
      </c>
      <c r="D20" s="6">
        <v>5385.0</v>
      </c>
      <c r="E20" s="6">
        <v>12440.0</v>
      </c>
      <c r="F20" s="6">
        <v>9970.0</v>
      </c>
      <c r="G20" s="105" t="s">
        <v>828</v>
      </c>
    </row>
    <row r="21">
      <c r="A21" s="6" t="s">
        <v>832</v>
      </c>
      <c r="B21" s="6" t="s">
        <v>345</v>
      </c>
      <c r="C21" s="6" t="s">
        <v>833</v>
      </c>
      <c r="D21" s="6">
        <v>8406.67</v>
      </c>
      <c r="E21" s="6">
        <v>22420.83</v>
      </c>
      <c r="F21" s="6" t="s">
        <v>835</v>
      </c>
      <c r="G21" s="171"/>
    </row>
  </sheetData>
  <hyperlinks>
    <hyperlink r:id="rId1" ref="C6"/>
    <hyperlink r:id="rId2" ref="G20"/>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43.88"/>
    <col customWidth="1" min="3" max="4" width="25.63"/>
  </cols>
  <sheetData>
    <row r="1">
      <c r="A1" s="10" t="s">
        <v>882</v>
      </c>
      <c r="B1" s="3"/>
      <c r="C1" s="3"/>
      <c r="D1" s="3"/>
    </row>
    <row r="2">
      <c r="A2" s="47" t="s">
        <v>884</v>
      </c>
      <c r="B2" s="29" t="s">
        <v>886</v>
      </c>
      <c r="C2" s="29" t="s">
        <v>887</v>
      </c>
      <c r="D2" s="29" t="s">
        <v>887</v>
      </c>
    </row>
    <row r="3">
      <c r="A3" s="114"/>
      <c r="B3" s="6" t="s">
        <v>888</v>
      </c>
      <c r="C3" s="6" t="s">
        <v>889</v>
      </c>
      <c r="D3" s="6" t="s">
        <v>890</v>
      </c>
    </row>
    <row r="4">
      <c r="A4" s="114"/>
      <c r="B4" s="81">
        <v>0.234</v>
      </c>
      <c r="C4" s="6">
        <v>32.3</v>
      </c>
      <c r="D4" s="6">
        <v>13.2</v>
      </c>
    </row>
    <row r="5">
      <c r="A5" s="44"/>
      <c r="B5" s="6" t="s">
        <v>892</v>
      </c>
      <c r="C5" s="6" t="s">
        <v>892</v>
      </c>
      <c r="D5" s="6" t="s">
        <v>893</v>
      </c>
    </row>
    <row r="6">
      <c r="A6" s="47" t="s">
        <v>894</v>
      </c>
      <c r="B6" s="29" t="s">
        <v>620</v>
      </c>
      <c r="C6" s="29" t="s">
        <v>621</v>
      </c>
      <c r="D6" s="3"/>
    </row>
    <row r="7">
      <c r="A7" s="114"/>
      <c r="B7" s="6">
        <v>27.1</v>
      </c>
      <c r="C7" s="6">
        <v>17.0</v>
      </c>
      <c r="D7" s="3"/>
    </row>
    <row r="8">
      <c r="A8" s="44"/>
      <c r="B8" s="6" t="s">
        <v>892</v>
      </c>
      <c r="C8" s="6" t="s">
        <v>898</v>
      </c>
      <c r="D8" s="3"/>
    </row>
    <row r="9">
      <c r="A9" s="66" t="s">
        <v>900</v>
      </c>
      <c r="B9" s="29" t="s">
        <v>354</v>
      </c>
      <c r="C9" s="29" t="s">
        <v>354</v>
      </c>
      <c r="D9" s="3"/>
    </row>
    <row r="10">
      <c r="A10" s="3"/>
      <c r="B10" s="3"/>
      <c r="C10" s="3"/>
      <c r="D10" s="3"/>
    </row>
    <row r="11">
      <c r="A11" s="1" t="s">
        <v>409</v>
      </c>
      <c r="B11" s="1" t="s">
        <v>905</v>
      </c>
      <c r="C11" s="1" t="s">
        <v>906</v>
      </c>
      <c r="D11" s="3"/>
    </row>
    <row r="12">
      <c r="A12" s="6" t="s">
        <v>909</v>
      </c>
      <c r="B12" s="177">
        <v>0.234</v>
      </c>
      <c r="C12" s="6" t="s">
        <v>912</v>
      </c>
      <c r="D12" s="3"/>
    </row>
    <row r="13">
      <c r="A13" s="6" t="s">
        <v>913</v>
      </c>
      <c r="B13" s="177">
        <v>0.132</v>
      </c>
      <c r="C13" s="6" t="s">
        <v>915</v>
      </c>
      <c r="D13" s="3"/>
    </row>
    <row r="14">
      <c r="A14" s="6" t="s">
        <v>917</v>
      </c>
      <c r="B14" s="6" t="s">
        <v>918</v>
      </c>
      <c r="C14" s="6" t="s">
        <v>912</v>
      </c>
      <c r="D14" s="3"/>
    </row>
    <row r="15">
      <c r="A15" s="6" t="s">
        <v>919</v>
      </c>
      <c r="B15" s="6" t="s">
        <v>920</v>
      </c>
      <c r="C15" s="6" t="s">
        <v>921</v>
      </c>
      <c r="D15" s="3"/>
    </row>
    <row r="16">
      <c r="A16" s="6" t="s">
        <v>373</v>
      </c>
      <c r="B16" s="6" t="s">
        <v>923</v>
      </c>
      <c r="C16" s="6" t="s">
        <v>912</v>
      </c>
      <c r="D16" s="3"/>
    </row>
    <row r="17">
      <c r="A17" s="6" t="s">
        <v>164</v>
      </c>
      <c r="B17" s="6" t="s">
        <v>925</v>
      </c>
      <c r="C17" s="6" t="s">
        <v>912</v>
      </c>
      <c r="D17" s="3"/>
    </row>
    <row r="18">
      <c r="A18" s="6" t="s">
        <v>926</v>
      </c>
      <c r="B18" s="177">
        <v>0.13</v>
      </c>
      <c r="C18" s="6" t="s">
        <v>928</v>
      </c>
      <c r="D18" s="3"/>
    </row>
    <row r="20">
      <c r="A20" s="10" t="s">
        <v>930</v>
      </c>
      <c r="B20" s="3"/>
      <c r="C20" s="3"/>
      <c r="D20" s="3"/>
      <c r="E20" s="3"/>
      <c r="F20" s="3"/>
    </row>
    <row r="21">
      <c r="A21" s="69" t="s">
        <v>349</v>
      </c>
      <c r="B21" s="69" t="s">
        <v>617</v>
      </c>
      <c r="C21" s="69" t="s">
        <v>618</v>
      </c>
      <c r="D21" s="69" t="s">
        <v>619</v>
      </c>
      <c r="E21" s="69" t="s">
        <v>620</v>
      </c>
      <c r="F21" s="69" t="s">
        <v>621</v>
      </c>
    </row>
    <row r="22">
      <c r="A22" s="6" t="s">
        <v>933</v>
      </c>
      <c r="B22" s="6">
        <v>414.8</v>
      </c>
      <c r="C22" s="6">
        <v>450.6</v>
      </c>
      <c r="D22" s="6">
        <v>640.96</v>
      </c>
      <c r="E22" s="6">
        <v>848.21</v>
      </c>
      <c r="F22" s="6">
        <v>960.45</v>
      </c>
    </row>
    <row r="23">
      <c r="A23" s="6" t="s">
        <v>936</v>
      </c>
      <c r="B23" s="79">
        <v>347.46</v>
      </c>
      <c r="C23" s="79">
        <v>360.36</v>
      </c>
      <c r="D23" s="79">
        <v>494.03</v>
      </c>
      <c r="E23" s="79">
        <v>634.14</v>
      </c>
      <c r="F23" s="79">
        <v>657.86</v>
      </c>
    </row>
    <row r="24">
      <c r="A24" s="6" t="s">
        <v>569</v>
      </c>
      <c r="B24" s="81">
        <v>0.8376</v>
      </c>
      <c r="C24" s="81">
        <v>0.7997</v>
      </c>
      <c r="D24" s="81">
        <v>0.7708</v>
      </c>
      <c r="E24" s="81">
        <v>0.7476</v>
      </c>
      <c r="F24" s="81">
        <v>0.6849</v>
      </c>
    </row>
    <row r="25">
      <c r="A25" s="21" t="s">
        <v>939</v>
      </c>
      <c r="B25" s="3"/>
      <c r="C25" s="3"/>
      <c r="D25" s="3"/>
      <c r="E25" s="3"/>
      <c r="F25" s="3"/>
    </row>
    <row r="26">
      <c r="A26" s="21" t="s">
        <v>940</v>
      </c>
      <c r="B26" s="3"/>
      <c r="C26" s="3"/>
      <c r="D26" s="3"/>
      <c r="E26" s="3"/>
      <c r="F26" s="3"/>
    </row>
    <row r="27">
      <c r="A27" s="21" t="s">
        <v>943</v>
      </c>
      <c r="B27" s="3"/>
      <c r="C27" s="3"/>
      <c r="D27" s="3"/>
      <c r="E27" s="3"/>
      <c r="F27" s="3"/>
    </row>
    <row r="28">
      <c r="A28" s="21" t="s">
        <v>944</v>
      </c>
      <c r="B28" s="3"/>
      <c r="C28" s="3"/>
      <c r="D28" s="3"/>
      <c r="E28" s="3"/>
      <c r="F28" s="3"/>
    </row>
    <row r="29">
      <c r="A29" s="169" t="s">
        <v>947</v>
      </c>
      <c r="B29" s="3"/>
      <c r="C29" s="3"/>
      <c r="D29" s="3"/>
      <c r="E29" s="3"/>
      <c r="F29" s="3"/>
    </row>
    <row r="30">
      <c r="A30" s="119" t="s">
        <v>948</v>
      </c>
    </row>
    <row r="31">
      <c r="A31" s="119" t="s">
        <v>949</v>
      </c>
    </row>
    <row r="32">
      <c r="A32" s="119" t="s">
        <v>950</v>
      </c>
    </row>
    <row r="34">
      <c r="A34" s="10" t="s">
        <v>951</v>
      </c>
      <c r="B34" s="3"/>
      <c r="C34" s="3"/>
      <c r="D34" s="3"/>
      <c r="E34" s="3"/>
      <c r="F34" s="3"/>
    </row>
    <row r="35">
      <c r="A35" s="69" t="s">
        <v>349</v>
      </c>
      <c r="B35" s="69" t="s">
        <v>617</v>
      </c>
      <c r="C35" s="69" t="s">
        <v>618</v>
      </c>
      <c r="D35" s="69" t="s">
        <v>619</v>
      </c>
      <c r="E35" s="69" t="s">
        <v>620</v>
      </c>
      <c r="F35" s="69" t="s">
        <v>621</v>
      </c>
    </row>
    <row r="36">
      <c r="A36" s="6" t="s">
        <v>933</v>
      </c>
      <c r="B36" s="6">
        <v>414.8</v>
      </c>
      <c r="C36" s="6">
        <v>450.6</v>
      </c>
      <c r="D36" s="6">
        <v>640.96</v>
      </c>
      <c r="E36" s="6">
        <v>848.21</v>
      </c>
      <c r="F36" s="6">
        <v>960.45</v>
      </c>
    </row>
    <row r="37">
      <c r="A37" s="6" t="s">
        <v>953</v>
      </c>
      <c r="B37" s="6">
        <v>10.1</v>
      </c>
      <c r="C37" s="6">
        <v>15.86</v>
      </c>
      <c r="D37" s="6">
        <v>21.22</v>
      </c>
      <c r="E37" s="6">
        <v>40.55</v>
      </c>
      <c r="F37" s="6">
        <v>54.17</v>
      </c>
    </row>
    <row r="38">
      <c r="A38" s="6" t="s">
        <v>954</v>
      </c>
      <c r="B38" s="81">
        <v>0.0244</v>
      </c>
      <c r="C38" s="81">
        <v>0.0352</v>
      </c>
      <c r="D38" s="81">
        <v>0.0331</v>
      </c>
      <c r="E38" s="81">
        <v>0.0478</v>
      </c>
      <c r="F38" s="81">
        <v>0.0564</v>
      </c>
    </row>
    <row r="39">
      <c r="A39" s="169" t="s">
        <v>955</v>
      </c>
      <c r="B39" s="3"/>
      <c r="C39" s="3"/>
      <c r="D39" s="3"/>
      <c r="E39" s="3"/>
      <c r="F39" s="3"/>
    </row>
    <row r="41">
      <c r="A41" s="179" t="s">
        <v>957</v>
      </c>
      <c r="B41" s="3"/>
      <c r="C41" s="3"/>
      <c r="D41" s="3"/>
    </row>
    <row r="42">
      <c r="A42" s="169" t="s">
        <v>958</v>
      </c>
      <c r="B42" s="3"/>
      <c r="C42" s="3"/>
      <c r="D42" s="3"/>
    </row>
    <row r="44">
      <c r="A44" s="10" t="s">
        <v>959</v>
      </c>
      <c r="B44" s="3"/>
      <c r="C44" s="3"/>
      <c r="D44" s="3"/>
      <c r="E44" s="3"/>
      <c r="F44" s="3"/>
    </row>
    <row r="45">
      <c r="A45" s="69" t="s">
        <v>349</v>
      </c>
      <c r="B45" s="69" t="s">
        <v>617</v>
      </c>
      <c r="C45" s="69" t="s">
        <v>618</v>
      </c>
      <c r="D45" s="69" t="s">
        <v>619</v>
      </c>
      <c r="E45" s="69" t="s">
        <v>620</v>
      </c>
      <c r="F45" s="69" t="s">
        <v>621</v>
      </c>
    </row>
    <row r="46">
      <c r="A46" s="6" t="s">
        <v>964</v>
      </c>
      <c r="B46" s="181">
        <v>1385.0</v>
      </c>
      <c r="C46" s="181">
        <v>19430.0</v>
      </c>
      <c r="D46" s="181">
        <v>5385.0</v>
      </c>
      <c r="E46" s="181">
        <v>12440.0</v>
      </c>
      <c r="F46" s="181">
        <v>9970.0</v>
      </c>
    </row>
    <row r="47">
      <c r="A47" s="6" t="s">
        <v>966</v>
      </c>
      <c r="B47" s="181">
        <v>41480.0</v>
      </c>
      <c r="C47" s="181">
        <v>45060.0</v>
      </c>
      <c r="D47" s="181">
        <v>64096.0</v>
      </c>
      <c r="E47" s="181">
        <v>84821.0</v>
      </c>
      <c r="F47" s="181">
        <v>96045.0</v>
      </c>
    </row>
    <row r="48">
      <c r="A48" s="6" t="s">
        <v>969</v>
      </c>
      <c r="B48" s="81">
        <v>0.0334</v>
      </c>
      <c r="C48" s="81">
        <v>0.4312</v>
      </c>
      <c r="D48" s="81">
        <v>0.084</v>
      </c>
      <c r="E48" s="81">
        <v>0.1467</v>
      </c>
      <c r="F48" s="81">
        <v>0.1038</v>
      </c>
    </row>
    <row r="49">
      <c r="A49" s="169" t="s">
        <v>970</v>
      </c>
      <c r="B49" s="3"/>
      <c r="C49" s="3"/>
      <c r="D49" s="3"/>
      <c r="E49" s="3"/>
      <c r="F49" s="3"/>
    </row>
    <row r="51">
      <c r="A51" s="10" t="s">
        <v>972</v>
      </c>
      <c r="B51" s="3"/>
      <c r="C51" s="3"/>
    </row>
    <row r="52">
      <c r="A52" s="69" t="s">
        <v>973</v>
      </c>
      <c r="B52" s="69" t="s">
        <v>836</v>
      </c>
      <c r="C52" s="69" t="s">
        <v>974</v>
      </c>
    </row>
    <row r="53">
      <c r="A53" s="115" t="s">
        <v>976</v>
      </c>
      <c r="B53" s="182">
        <v>0.0691</v>
      </c>
      <c r="C53" s="117" t="s">
        <v>977</v>
      </c>
    </row>
    <row r="54">
      <c r="A54" s="115" t="s">
        <v>978</v>
      </c>
      <c r="B54" s="115">
        <v>0.39</v>
      </c>
      <c r="C54" s="117" t="s">
        <v>979</v>
      </c>
    </row>
    <row r="55">
      <c r="A55" s="115" t="s">
        <v>980</v>
      </c>
      <c r="B55" s="182">
        <v>0.0731</v>
      </c>
      <c r="C55" s="117" t="s">
        <v>981</v>
      </c>
    </row>
    <row r="56">
      <c r="A56" s="115" t="s">
        <v>982</v>
      </c>
      <c r="B56" s="115" t="s">
        <v>984</v>
      </c>
      <c r="C56" s="117" t="s">
        <v>985</v>
      </c>
    </row>
    <row r="57">
      <c r="A57" s="21" t="s">
        <v>986</v>
      </c>
      <c r="B57" s="3"/>
      <c r="C57" s="3"/>
    </row>
    <row r="58">
      <c r="A58" s="21" t="s">
        <v>987</v>
      </c>
      <c r="B58" s="3"/>
      <c r="C58" s="3"/>
    </row>
    <row r="59">
      <c r="A59" s="21" t="s">
        <v>988</v>
      </c>
      <c r="B59" s="21" t="s">
        <v>989</v>
      </c>
      <c r="C59" s="3"/>
    </row>
    <row r="60">
      <c r="A60" s="21" t="s">
        <v>990</v>
      </c>
      <c r="B60" s="3"/>
      <c r="C60" s="3"/>
    </row>
    <row r="61">
      <c r="A61" s="21" t="s">
        <v>991</v>
      </c>
      <c r="B61" s="3"/>
      <c r="C61" s="3"/>
    </row>
    <row r="62">
      <c r="A62" s="21" t="s">
        <v>992</v>
      </c>
      <c r="B62" s="3"/>
      <c r="C62" s="3"/>
    </row>
    <row r="63">
      <c r="A63" s="21" t="s">
        <v>993</v>
      </c>
      <c r="B63" s="3"/>
      <c r="C63" s="3"/>
    </row>
    <row r="64">
      <c r="A64" s="21" t="s">
        <v>994</v>
      </c>
      <c r="B64" s="3"/>
      <c r="C64" s="3"/>
    </row>
    <row r="66">
      <c r="A66" s="10" t="s">
        <v>995</v>
      </c>
      <c r="C66" s="3"/>
    </row>
    <row r="67">
      <c r="A67" s="10" t="s">
        <v>996</v>
      </c>
      <c r="C67" s="3"/>
    </row>
    <row r="68">
      <c r="A68" s="119" t="s">
        <v>998</v>
      </c>
      <c r="C68" s="3"/>
    </row>
    <row r="69">
      <c r="A69" s="119" t="s">
        <v>1000</v>
      </c>
      <c r="C69" s="3"/>
    </row>
    <row r="70">
      <c r="A70" s="119" t="s">
        <v>1001</v>
      </c>
      <c r="C70" s="3"/>
    </row>
    <row r="71">
      <c r="A71" s="119" t="s">
        <v>1003</v>
      </c>
    </row>
  </sheetData>
  <mergeCells count="2">
    <mergeCell ref="A2:A5"/>
    <mergeCell ref="A6:A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75"/>
    <col customWidth="1" min="2" max="2" width="30.75"/>
    <col customWidth="1" min="3" max="3" width="21.13"/>
  </cols>
  <sheetData>
    <row r="1">
      <c r="A1" s="179" t="s">
        <v>1018</v>
      </c>
      <c r="B1" s="3"/>
      <c r="C1" s="3"/>
      <c r="D1" s="3"/>
      <c r="E1" s="3"/>
      <c r="F1" s="3"/>
    </row>
    <row r="2">
      <c r="A2" s="69" t="s">
        <v>1019</v>
      </c>
      <c r="B2" s="69" t="s">
        <v>625</v>
      </c>
      <c r="C2" s="69" t="s">
        <v>626</v>
      </c>
      <c r="D2" s="69" t="s">
        <v>627</v>
      </c>
      <c r="E2" s="69" t="s">
        <v>628</v>
      </c>
      <c r="F2" s="69" t="s">
        <v>629</v>
      </c>
      <c r="G2" s="163" t="s">
        <v>23</v>
      </c>
    </row>
    <row r="3">
      <c r="A3" s="6" t="s">
        <v>344</v>
      </c>
      <c r="B3" s="177">
        <v>0.13</v>
      </c>
      <c r="C3" s="177">
        <v>0.13</v>
      </c>
      <c r="D3" s="177">
        <v>0.13</v>
      </c>
      <c r="E3" s="177">
        <v>0.13</v>
      </c>
      <c r="F3" s="177">
        <v>0.13</v>
      </c>
      <c r="G3" s="119" t="s">
        <v>1022</v>
      </c>
    </row>
    <row r="4">
      <c r="A4" s="6" t="s">
        <v>933</v>
      </c>
      <c r="B4" s="79">
        <v>1085.31</v>
      </c>
      <c r="C4" s="79">
        <v>1226.4</v>
      </c>
      <c r="D4" s="79">
        <v>1385.83</v>
      </c>
      <c r="E4" s="79">
        <v>1565.99</v>
      </c>
      <c r="F4" s="79">
        <v>1769.57</v>
      </c>
    </row>
    <row r="5">
      <c r="A5" s="3"/>
      <c r="B5" s="3"/>
      <c r="C5" s="3"/>
      <c r="D5" s="3"/>
      <c r="E5" s="3"/>
      <c r="F5" s="3"/>
    </row>
    <row r="6">
      <c r="A6" s="78" t="s">
        <v>349</v>
      </c>
      <c r="B6" s="78" t="s">
        <v>625</v>
      </c>
      <c r="C6" s="78" t="s">
        <v>626</v>
      </c>
      <c r="D6" s="78" t="s">
        <v>627</v>
      </c>
      <c r="E6" s="78" t="s">
        <v>628</v>
      </c>
      <c r="F6" s="78" t="s">
        <v>629</v>
      </c>
    </row>
    <row r="7">
      <c r="A7" s="115" t="s">
        <v>1026</v>
      </c>
      <c r="B7" s="185">
        <v>1085.31</v>
      </c>
      <c r="C7" s="185">
        <v>1226.4</v>
      </c>
      <c r="D7" s="185">
        <v>1385.83</v>
      </c>
      <c r="E7" s="185">
        <v>1565.99</v>
      </c>
      <c r="F7" s="185">
        <v>1769.57</v>
      </c>
    </row>
    <row r="8">
      <c r="A8" s="115" t="s">
        <v>569</v>
      </c>
      <c r="B8" s="182">
        <v>0.6474</v>
      </c>
      <c r="C8" s="182">
        <v>0.6174</v>
      </c>
      <c r="D8" s="182">
        <v>0.5949</v>
      </c>
      <c r="E8" s="182">
        <v>0.5799</v>
      </c>
      <c r="F8" s="182">
        <v>0.5724</v>
      </c>
      <c r="G8" s="119" t="s">
        <v>1029</v>
      </c>
    </row>
    <row r="9">
      <c r="A9" s="115" t="s">
        <v>1032</v>
      </c>
      <c r="B9" s="115">
        <v>702.63</v>
      </c>
      <c r="C9" s="115">
        <v>757.18</v>
      </c>
      <c r="D9" s="115">
        <v>824.43</v>
      </c>
      <c r="E9" s="115">
        <v>908.12</v>
      </c>
      <c r="F9" s="185">
        <v>1012.9</v>
      </c>
    </row>
    <row r="11">
      <c r="A11" s="78" t="s">
        <v>349</v>
      </c>
      <c r="B11" s="78" t="s">
        <v>625</v>
      </c>
      <c r="C11" s="78" t="s">
        <v>626</v>
      </c>
      <c r="D11" s="78" t="s">
        <v>627</v>
      </c>
      <c r="E11" s="78" t="s">
        <v>628</v>
      </c>
      <c r="F11" s="78" t="s">
        <v>629</v>
      </c>
      <c r="G11" s="3"/>
    </row>
    <row r="12">
      <c r="A12" s="115" t="s">
        <v>1026</v>
      </c>
      <c r="B12" s="185">
        <v>1085.31</v>
      </c>
      <c r="C12" s="185">
        <v>1226.4</v>
      </c>
      <c r="D12" s="185">
        <v>1385.83</v>
      </c>
      <c r="E12" s="185">
        <v>1565.99</v>
      </c>
      <c r="F12" s="185">
        <v>1769.57</v>
      </c>
      <c r="G12" s="3"/>
    </row>
    <row r="13">
      <c r="A13" s="115" t="s">
        <v>569</v>
      </c>
      <c r="B13" s="182">
        <v>0.6474</v>
      </c>
      <c r="C13" s="182">
        <v>0.6174</v>
      </c>
      <c r="D13" s="182">
        <v>0.5949</v>
      </c>
      <c r="E13" s="182">
        <v>0.5799</v>
      </c>
      <c r="F13" s="182">
        <v>0.5724</v>
      </c>
      <c r="G13" s="3"/>
    </row>
    <row r="14">
      <c r="A14" s="115" t="s">
        <v>936</v>
      </c>
      <c r="B14" s="115">
        <v>702.63</v>
      </c>
      <c r="C14" s="115">
        <v>757.18</v>
      </c>
      <c r="D14" s="115">
        <v>824.43</v>
      </c>
      <c r="E14" s="115">
        <v>908.12</v>
      </c>
      <c r="F14" s="185">
        <v>1012.9</v>
      </c>
      <c r="G14" s="3"/>
    </row>
    <row r="15">
      <c r="A15" s="115" t="s">
        <v>1033</v>
      </c>
      <c r="B15" s="182">
        <v>0.0394</v>
      </c>
      <c r="C15" s="182">
        <v>0.0394</v>
      </c>
      <c r="D15" s="182">
        <v>0.0394</v>
      </c>
      <c r="E15" s="182">
        <v>0.0394</v>
      </c>
      <c r="F15" s="182">
        <v>0.0394</v>
      </c>
      <c r="G15" s="3"/>
    </row>
    <row r="16">
      <c r="A16" s="115" t="s">
        <v>953</v>
      </c>
      <c r="B16" s="115">
        <v>42.76</v>
      </c>
      <c r="C16" s="115">
        <v>48.32</v>
      </c>
      <c r="D16" s="115">
        <v>54.6</v>
      </c>
      <c r="E16" s="115">
        <v>61.7</v>
      </c>
      <c r="F16" s="115">
        <v>69.72</v>
      </c>
      <c r="G16" s="3"/>
    </row>
    <row r="17">
      <c r="A17" s="115" t="s">
        <v>1034</v>
      </c>
      <c r="B17" s="115">
        <v>659.87</v>
      </c>
      <c r="C17" s="115">
        <v>708.86</v>
      </c>
      <c r="D17" s="115">
        <v>769.83</v>
      </c>
      <c r="E17" s="115">
        <v>846.42</v>
      </c>
      <c r="F17" s="115">
        <v>943.18</v>
      </c>
      <c r="G17" s="169" t="s">
        <v>1035</v>
      </c>
    </row>
    <row r="19">
      <c r="A19" s="179" t="s">
        <v>957</v>
      </c>
      <c r="B19" s="3"/>
      <c r="C19" s="3"/>
      <c r="D19" s="3"/>
      <c r="E19" s="3"/>
      <c r="F19" s="3"/>
      <c r="G19" s="3"/>
    </row>
    <row r="20">
      <c r="A20" s="78" t="s">
        <v>1036</v>
      </c>
      <c r="B20" s="78" t="s">
        <v>625</v>
      </c>
      <c r="C20" s="78" t="s">
        <v>626</v>
      </c>
      <c r="D20" s="78" t="s">
        <v>627</v>
      </c>
      <c r="E20" s="78" t="s">
        <v>628</v>
      </c>
      <c r="F20" s="78" t="s">
        <v>629</v>
      </c>
      <c r="G20" s="3"/>
    </row>
    <row r="21">
      <c r="A21" s="115" t="s">
        <v>630</v>
      </c>
      <c r="B21" s="115">
        <v>659.87</v>
      </c>
      <c r="C21" s="115">
        <v>708.86</v>
      </c>
      <c r="D21" s="115">
        <v>769.83</v>
      </c>
      <c r="E21" s="115">
        <v>846.42</v>
      </c>
      <c r="F21" s="115">
        <v>943.18</v>
      </c>
      <c r="G21" s="3"/>
    </row>
    <row r="22">
      <c r="A22" s="115" t="s">
        <v>1037</v>
      </c>
      <c r="B22" s="182">
        <v>0.2517</v>
      </c>
      <c r="C22" s="182">
        <v>0.2517</v>
      </c>
      <c r="D22" s="182">
        <v>0.2517</v>
      </c>
      <c r="E22" s="182">
        <v>0.2517</v>
      </c>
      <c r="F22" s="182">
        <v>0.2517</v>
      </c>
      <c r="G22" s="21" t="s">
        <v>1038</v>
      </c>
    </row>
    <row r="23">
      <c r="A23" s="115" t="s">
        <v>1039</v>
      </c>
      <c r="B23" s="115">
        <v>166.12</v>
      </c>
      <c r="C23" s="115">
        <v>178.42</v>
      </c>
      <c r="D23" s="115">
        <v>193.75</v>
      </c>
      <c r="E23" s="115">
        <v>213.09</v>
      </c>
      <c r="F23" s="115">
        <v>237.38</v>
      </c>
      <c r="G23" s="3"/>
    </row>
    <row r="24">
      <c r="A24" s="115" t="s">
        <v>631</v>
      </c>
      <c r="B24" s="115">
        <v>493.75</v>
      </c>
      <c r="C24" s="115">
        <v>530.44</v>
      </c>
      <c r="D24" s="115">
        <v>576.08</v>
      </c>
      <c r="E24" s="115">
        <v>633.33</v>
      </c>
      <c r="F24" s="115">
        <v>705.8</v>
      </c>
      <c r="G24" s="169" t="s">
        <v>1040</v>
      </c>
    </row>
    <row r="26">
      <c r="A26" s="78" t="s">
        <v>1036</v>
      </c>
      <c r="B26" s="78" t="s">
        <v>625</v>
      </c>
      <c r="C26" s="78" t="s">
        <v>626</v>
      </c>
      <c r="D26" s="78" t="s">
        <v>627</v>
      </c>
      <c r="E26" s="78" t="s">
        <v>628</v>
      </c>
      <c r="F26" s="78" t="s">
        <v>629</v>
      </c>
    </row>
    <row r="27">
      <c r="A27" s="115" t="s">
        <v>630</v>
      </c>
      <c r="B27" s="115">
        <v>659.87</v>
      </c>
      <c r="C27" s="115">
        <v>708.86</v>
      </c>
      <c r="D27" s="115">
        <v>769.83</v>
      </c>
      <c r="E27" s="115">
        <v>846.42</v>
      </c>
      <c r="F27" s="115">
        <v>943.18</v>
      </c>
    </row>
    <row r="28">
      <c r="A28" s="115" t="s">
        <v>1041</v>
      </c>
      <c r="B28" s="115">
        <v>-166.09</v>
      </c>
      <c r="C28" s="115">
        <v>-178.42</v>
      </c>
      <c r="D28" s="115">
        <v>-193.77</v>
      </c>
      <c r="E28" s="115">
        <v>-213.05</v>
      </c>
      <c r="F28" s="115">
        <v>-237.4</v>
      </c>
    </row>
    <row r="29">
      <c r="A29" s="115" t="s">
        <v>631</v>
      </c>
      <c r="B29" s="115">
        <v>493.78</v>
      </c>
      <c r="C29" s="115">
        <v>530.44</v>
      </c>
      <c r="D29" s="115">
        <v>576.06</v>
      </c>
      <c r="E29" s="115">
        <v>633.38</v>
      </c>
      <c r="F29" s="115">
        <v>705.78</v>
      </c>
    </row>
    <row r="30">
      <c r="A30" s="115" t="s">
        <v>1042</v>
      </c>
      <c r="B30" s="115">
        <v>42.76</v>
      </c>
      <c r="C30" s="115">
        <v>48.32</v>
      </c>
      <c r="D30" s="115">
        <v>54.6</v>
      </c>
      <c r="E30" s="115">
        <v>61.7</v>
      </c>
      <c r="F30" s="115">
        <v>69.72</v>
      </c>
    </row>
    <row r="31">
      <c r="A31" s="115" t="s">
        <v>1043</v>
      </c>
      <c r="B31" s="115">
        <v>-99.85</v>
      </c>
      <c r="C31" s="115">
        <v>-112.83</v>
      </c>
      <c r="D31" s="115">
        <v>-127.5</v>
      </c>
      <c r="E31" s="115">
        <v>-144.07</v>
      </c>
      <c r="F31" s="115">
        <v>-162.8</v>
      </c>
      <c r="G31" s="119" t="s">
        <v>1044</v>
      </c>
    </row>
    <row r="32">
      <c r="A32" s="115" t="s">
        <v>1045</v>
      </c>
      <c r="B32" s="115">
        <v>0.0</v>
      </c>
      <c r="C32" s="115">
        <v>0.0</v>
      </c>
      <c r="D32" s="115">
        <v>0.0</v>
      </c>
      <c r="E32" s="115">
        <v>0.0</v>
      </c>
      <c r="F32" s="115">
        <v>0.0</v>
      </c>
    </row>
    <row r="33">
      <c r="A33" s="115" t="s">
        <v>632</v>
      </c>
      <c r="B33" s="115">
        <v>436.69</v>
      </c>
      <c r="C33" s="115">
        <v>465.93</v>
      </c>
      <c r="D33" s="115">
        <v>503.17</v>
      </c>
      <c r="E33" s="115">
        <v>551.01</v>
      </c>
      <c r="F33" s="115">
        <v>612.7</v>
      </c>
    </row>
    <row r="35">
      <c r="A35" s="10" t="s">
        <v>1046</v>
      </c>
      <c r="B35" s="3"/>
      <c r="C35" s="3"/>
      <c r="D35" s="3"/>
      <c r="E35" s="3"/>
      <c r="F35" s="3"/>
      <c r="G35" s="3"/>
    </row>
    <row r="36">
      <c r="A36" s="21" t="s">
        <v>1047</v>
      </c>
      <c r="B36" s="3"/>
      <c r="C36" s="3"/>
      <c r="D36" s="3"/>
      <c r="E36" s="3"/>
      <c r="F36" s="3"/>
      <c r="G36" s="3"/>
    </row>
    <row r="37">
      <c r="A37" s="78" t="s">
        <v>349</v>
      </c>
      <c r="B37" s="78" t="s">
        <v>625</v>
      </c>
      <c r="C37" s="78" t="s">
        <v>626</v>
      </c>
      <c r="D37" s="78" t="s">
        <v>627</v>
      </c>
      <c r="E37" s="78" t="s">
        <v>628</v>
      </c>
      <c r="F37" s="78" t="s">
        <v>629</v>
      </c>
      <c r="G37" s="3"/>
    </row>
    <row r="38">
      <c r="A38" s="115" t="s">
        <v>1048</v>
      </c>
      <c r="B38" s="115">
        <v>436.69</v>
      </c>
      <c r="C38" s="115">
        <v>465.93</v>
      </c>
      <c r="D38" s="115">
        <v>503.17</v>
      </c>
      <c r="E38" s="115">
        <v>551.01</v>
      </c>
      <c r="F38" s="115">
        <v>612.7</v>
      </c>
      <c r="G38" s="3"/>
    </row>
    <row r="39">
      <c r="A39" s="115" t="s">
        <v>1049</v>
      </c>
      <c r="B39" s="115">
        <v>1.0</v>
      </c>
      <c r="C39" s="115">
        <v>2.0</v>
      </c>
      <c r="D39" s="115">
        <v>3.0</v>
      </c>
      <c r="E39" s="115">
        <v>4.0</v>
      </c>
      <c r="F39" s="115">
        <v>5.0</v>
      </c>
      <c r="G39" s="21" t="s">
        <v>1050</v>
      </c>
    </row>
    <row r="40">
      <c r="A40" s="115" t="s">
        <v>1051</v>
      </c>
      <c r="B40" s="115">
        <v>0.9111</v>
      </c>
      <c r="C40" s="115">
        <v>0.8301</v>
      </c>
      <c r="D40" s="115">
        <v>0.7563</v>
      </c>
      <c r="E40" s="115">
        <v>0.689</v>
      </c>
      <c r="F40" s="115">
        <v>0.6277</v>
      </c>
      <c r="G40" s="169" t="s">
        <v>1052</v>
      </c>
    </row>
    <row r="41">
      <c r="A41" s="115" t="s">
        <v>1053</v>
      </c>
      <c r="B41" s="115">
        <v>397.86</v>
      </c>
      <c r="C41" s="115">
        <v>386.75</v>
      </c>
      <c r="D41" s="115">
        <v>380.52</v>
      </c>
      <c r="E41" s="115">
        <v>379.65</v>
      </c>
      <c r="F41" s="115">
        <v>384.62</v>
      </c>
      <c r="G41" s="3"/>
    </row>
    <row r="42">
      <c r="A42" s="169" t="s">
        <v>1054</v>
      </c>
      <c r="B42" s="186"/>
      <c r="C42" s="186"/>
      <c r="D42" s="186"/>
      <c r="E42" s="186"/>
      <c r="F42" s="186"/>
      <c r="G42" s="186"/>
    </row>
    <row r="43">
      <c r="A43" s="3"/>
      <c r="B43" s="3"/>
      <c r="C43" s="3"/>
      <c r="D43" s="3"/>
      <c r="E43" s="3"/>
      <c r="F43" s="3"/>
      <c r="G43" s="3"/>
    </row>
    <row r="44">
      <c r="A44" s="10" t="s">
        <v>1056</v>
      </c>
      <c r="B44" s="3"/>
      <c r="C44" s="3"/>
      <c r="D44" s="3"/>
      <c r="E44" s="3"/>
      <c r="F44" s="3"/>
      <c r="G44" s="3"/>
    </row>
    <row r="45">
      <c r="A45" s="21" t="s">
        <v>1057</v>
      </c>
      <c r="B45" s="3"/>
      <c r="C45" s="3"/>
      <c r="D45" s="3"/>
      <c r="E45" s="3"/>
      <c r="F45" s="3"/>
      <c r="G45" s="3"/>
    </row>
    <row r="46">
      <c r="A46" s="78" t="s">
        <v>1059</v>
      </c>
      <c r="B46" s="78" t="s">
        <v>836</v>
      </c>
      <c r="C46" s="3"/>
      <c r="D46" s="3"/>
      <c r="E46" s="3"/>
    </row>
    <row r="47">
      <c r="A47" s="115" t="s">
        <v>1060</v>
      </c>
      <c r="B47" s="115" t="s">
        <v>1061</v>
      </c>
      <c r="C47" s="3"/>
      <c r="D47" s="3"/>
      <c r="E47" s="3"/>
    </row>
    <row r="48">
      <c r="A48" s="115" t="s">
        <v>1062</v>
      </c>
      <c r="B48" s="115" t="s">
        <v>1063</v>
      </c>
      <c r="C48" s="3"/>
      <c r="D48" s="3"/>
      <c r="E48" s="3"/>
    </row>
    <row r="49">
      <c r="A49" s="115" t="s">
        <v>1064</v>
      </c>
      <c r="B49" s="115" t="s">
        <v>1065</v>
      </c>
      <c r="C49" s="3"/>
      <c r="D49" s="3"/>
      <c r="E49" s="3"/>
    </row>
    <row r="50">
      <c r="A50" s="188"/>
      <c r="B50" s="188"/>
      <c r="C50" s="3"/>
      <c r="D50" s="3"/>
      <c r="E50" s="3"/>
    </row>
    <row r="51">
      <c r="A51" s="78" t="s">
        <v>1068</v>
      </c>
      <c r="B51" s="78" t="s">
        <v>616</v>
      </c>
      <c r="C51" s="3"/>
      <c r="D51" s="3"/>
      <c r="E51" s="3"/>
    </row>
    <row r="52">
      <c r="A52" s="115" t="s">
        <v>1070</v>
      </c>
      <c r="B52" s="185">
        <v>1929.4</v>
      </c>
      <c r="C52" s="3"/>
      <c r="D52" s="3"/>
      <c r="E52" s="3"/>
    </row>
    <row r="53">
      <c r="A53" s="115" t="s">
        <v>1074</v>
      </c>
      <c r="B53" s="185">
        <v>13515.55</v>
      </c>
      <c r="C53" s="3"/>
      <c r="D53" s="3"/>
      <c r="E53" s="3"/>
    </row>
    <row r="54">
      <c r="A54" s="115" t="s">
        <v>1064</v>
      </c>
      <c r="B54" s="185">
        <v>8483.77</v>
      </c>
      <c r="C54" s="3"/>
      <c r="D54" s="3"/>
      <c r="E54" s="3"/>
    </row>
    <row r="55">
      <c r="A55" s="115" t="s">
        <v>837</v>
      </c>
      <c r="B55" s="185">
        <v>10413.17</v>
      </c>
      <c r="C55" s="2" t="s">
        <v>1079</v>
      </c>
      <c r="D55" s="3"/>
      <c r="E55" s="3"/>
    </row>
    <row r="56">
      <c r="A56" s="3"/>
      <c r="B56" s="3"/>
      <c r="C56" s="3"/>
      <c r="D56" s="3"/>
      <c r="E56" s="3"/>
    </row>
    <row r="57">
      <c r="A57" s="10" t="s">
        <v>1082</v>
      </c>
      <c r="B57" s="3"/>
      <c r="C57" s="3"/>
      <c r="D57" s="3"/>
      <c r="E57" s="3"/>
    </row>
    <row r="58">
      <c r="A58" s="78" t="s">
        <v>349</v>
      </c>
      <c r="B58" s="78" t="s">
        <v>616</v>
      </c>
      <c r="C58" s="3"/>
      <c r="D58" s="3"/>
      <c r="E58" s="3"/>
    </row>
    <row r="59">
      <c r="A59" s="115" t="s">
        <v>837</v>
      </c>
      <c r="B59" s="185">
        <v>10413.17</v>
      </c>
      <c r="C59" s="3"/>
      <c r="D59" s="3"/>
      <c r="E59" s="3"/>
    </row>
    <row r="60">
      <c r="A60" s="115" t="s">
        <v>1084</v>
      </c>
      <c r="B60" s="115" t="s">
        <v>1085</v>
      </c>
      <c r="C60" s="3"/>
      <c r="D60" s="3"/>
      <c r="E60" s="3"/>
    </row>
    <row r="61">
      <c r="A61" s="115" t="s">
        <v>1088</v>
      </c>
      <c r="B61" s="115">
        <v>809.2</v>
      </c>
      <c r="C61" s="3"/>
      <c r="D61" s="3"/>
      <c r="E61" s="3"/>
    </row>
    <row r="62">
      <c r="A62" s="115" t="s">
        <v>843</v>
      </c>
      <c r="B62" s="185">
        <v>11220.17</v>
      </c>
      <c r="C62" s="119" t="s">
        <v>1090</v>
      </c>
      <c r="D62" s="3"/>
      <c r="E62" s="3"/>
    </row>
    <row r="63">
      <c r="A63" s="21" t="s">
        <v>1091</v>
      </c>
      <c r="B63" s="3"/>
      <c r="C63" s="3"/>
      <c r="D63" s="3"/>
      <c r="E63" s="3"/>
    </row>
    <row r="64">
      <c r="A64" s="3"/>
      <c r="B64" s="3"/>
      <c r="C64" s="3"/>
      <c r="D64" s="3"/>
      <c r="E64" s="3"/>
    </row>
    <row r="65">
      <c r="A65" s="189" t="s">
        <v>1092</v>
      </c>
      <c r="B65" s="3"/>
      <c r="C65" s="3"/>
      <c r="D65" s="3"/>
      <c r="E65" s="3"/>
    </row>
    <row r="66">
      <c r="A66" s="169" t="s">
        <v>1093</v>
      </c>
      <c r="B66" s="3"/>
      <c r="C66" s="3"/>
      <c r="D66" s="3"/>
      <c r="E66" s="3"/>
    </row>
    <row r="67">
      <c r="A67" s="3"/>
      <c r="B67" s="3"/>
      <c r="C67" s="3"/>
      <c r="D67" s="3"/>
      <c r="E67" s="3"/>
    </row>
    <row r="68">
      <c r="A68" s="10" t="s">
        <v>1094</v>
      </c>
      <c r="B68" s="3"/>
      <c r="C68" s="3"/>
      <c r="D68" s="3"/>
      <c r="E68" s="3"/>
    </row>
    <row r="69">
      <c r="A69" s="78" t="s">
        <v>349</v>
      </c>
      <c r="B69" s="78" t="s">
        <v>836</v>
      </c>
      <c r="C69" s="3"/>
      <c r="D69" s="3"/>
      <c r="E69" s="3"/>
    </row>
    <row r="70">
      <c r="A70" s="115" t="s">
        <v>1095</v>
      </c>
      <c r="B70" s="115" t="s">
        <v>781</v>
      </c>
      <c r="C70" s="3"/>
      <c r="D70" s="3"/>
      <c r="E70" s="3"/>
    </row>
    <row r="71">
      <c r="A71" s="115" t="s">
        <v>1096</v>
      </c>
      <c r="B71" s="115" t="s">
        <v>860</v>
      </c>
      <c r="C71" s="3"/>
      <c r="D71" s="3"/>
      <c r="E71" s="3"/>
    </row>
    <row r="72">
      <c r="A72" s="115" t="s">
        <v>1097</v>
      </c>
      <c r="B72" s="115" t="s">
        <v>1098</v>
      </c>
      <c r="C72" s="190" t="s">
        <v>1099</v>
      </c>
      <c r="D72" s="3"/>
      <c r="E72" s="3"/>
    </row>
    <row r="73">
      <c r="A73" s="119" t="s">
        <v>1100</v>
      </c>
      <c r="B73" s="3"/>
      <c r="C73" s="3"/>
      <c r="D73" s="3"/>
      <c r="E73" s="3"/>
    </row>
    <row r="74">
      <c r="A74" s="3"/>
      <c r="B74" s="3"/>
      <c r="C74" s="3"/>
      <c r="D74" s="3"/>
      <c r="E74"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s>
  <sheetData>
    <row r="1">
      <c r="A1" s="10" t="s">
        <v>1055</v>
      </c>
      <c r="B1" s="3"/>
      <c r="C1" s="3"/>
      <c r="D1" s="3"/>
      <c r="E1" s="3"/>
    </row>
    <row r="2">
      <c r="A2" s="78" t="s">
        <v>1058</v>
      </c>
      <c r="B2" s="187">
        <v>0.025</v>
      </c>
      <c r="C2" s="187">
        <v>0.03</v>
      </c>
      <c r="D2" s="187">
        <v>0.035</v>
      </c>
      <c r="E2" s="3"/>
    </row>
    <row r="3">
      <c r="A3" s="182">
        <v>0.1</v>
      </c>
      <c r="B3" s="115" t="s">
        <v>1066</v>
      </c>
      <c r="C3" s="115" t="s">
        <v>1067</v>
      </c>
      <c r="D3" s="115" t="s">
        <v>1069</v>
      </c>
      <c r="E3" s="3"/>
    </row>
    <row r="4">
      <c r="A4" s="182">
        <v>0.105</v>
      </c>
      <c r="B4" s="115" t="s">
        <v>1071</v>
      </c>
      <c r="C4" s="115" t="s">
        <v>1072</v>
      </c>
      <c r="D4" s="115" t="s">
        <v>1073</v>
      </c>
      <c r="E4" s="3"/>
    </row>
    <row r="5">
      <c r="A5" s="182">
        <v>0.11</v>
      </c>
      <c r="B5" s="115" t="s">
        <v>1075</v>
      </c>
      <c r="C5" s="115" t="s">
        <v>1076</v>
      </c>
      <c r="D5" s="115" t="s">
        <v>1077</v>
      </c>
      <c r="E5" s="3"/>
    </row>
    <row r="6">
      <c r="A6" s="182">
        <v>0.115</v>
      </c>
      <c r="B6" s="115" t="s">
        <v>1078</v>
      </c>
      <c r="C6" s="115" t="s">
        <v>1080</v>
      </c>
      <c r="D6" s="115" t="s">
        <v>1081</v>
      </c>
      <c r="E6" s="3"/>
    </row>
    <row r="7">
      <c r="A7" s="182">
        <v>0.12</v>
      </c>
      <c r="B7" s="115" t="s">
        <v>1083</v>
      </c>
      <c r="C7" s="115" t="s">
        <v>1086</v>
      </c>
      <c r="D7" s="115" t="s">
        <v>1087</v>
      </c>
      <c r="E7" s="3"/>
    </row>
    <row r="8">
      <c r="A8" s="119" t="s">
        <v>1089</v>
      </c>
      <c r="B8" s="3"/>
      <c r="C8" s="3"/>
      <c r="D8" s="3"/>
      <c r="E8" s="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24.75"/>
    <col customWidth="1" min="3" max="3" width="35.63"/>
    <col customWidth="1" min="4" max="4" width="28.13"/>
    <col customWidth="1" min="5" max="5" width="31.13"/>
  </cols>
  <sheetData>
    <row r="1">
      <c r="A1" s="10" t="s">
        <v>1102</v>
      </c>
      <c r="B1" s="3"/>
      <c r="C1" s="3"/>
      <c r="D1" s="3"/>
    </row>
    <row r="2">
      <c r="A2" s="78" t="s">
        <v>349</v>
      </c>
      <c r="B2" s="78" t="s">
        <v>1106</v>
      </c>
      <c r="C2" s="78" t="s">
        <v>1108</v>
      </c>
      <c r="D2" s="3"/>
    </row>
    <row r="3">
      <c r="A3" s="115" t="s">
        <v>1110</v>
      </c>
      <c r="B3" s="115" t="s">
        <v>781</v>
      </c>
      <c r="C3" s="115" t="s">
        <v>1112</v>
      </c>
      <c r="D3" s="3"/>
    </row>
    <row r="4">
      <c r="A4" s="115" t="s">
        <v>1114</v>
      </c>
      <c r="B4" s="115" t="s">
        <v>784</v>
      </c>
      <c r="C4" s="115" t="s">
        <v>1116</v>
      </c>
      <c r="D4" s="3"/>
    </row>
    <row r="5">
      <c r="A5" s="115" t="s">
        <v>1117</v>
      </c>
      <c r="B5" s="115" t="s">
        <v>787</v>
      </c>
      <c r="C5" s="115" t="s">
        <v>1119</v>
      </c>
      <c r="D5" s="3"/>
    </row>
    <row r="6">
      <c r="A6" s="115" t="s">
        <v>193</v>
      </c>
      <c r="B6" s="115" t="s">
        <v>1123</v>
      </c>
      <c r="C6" s="115" t="s">
        <v>1124</v>
      </c>
      <c r="D6" s="3"/>
    </row>
    <row r="7">
      <c r="A7" s="115" t="s">
        <v>1088</v>
      </c>
      <c r="B7" s="115" t="s">
        <v>1125</v>
      </c>
      <c r="C7" s="115" t="s">
        <v>1126</v>
      </c>
      <c r="D7" s="3"/>
    </row>
    <row r="8">
      <c r="A8" s="115" t="s">
        <v>1127</v>
      </c>
      <c r="B8" s="115" t="s">
        <v>1128</v>
      </c>
      <c r="C8" s="115" t="s">
        <v>1129</v>
      </c>
      <c r="D8" s="3"/>
    </row>
    <row r="9">
      <c r="A9" s="115" t="s">
        <v>1130</v>
      </c>
      <c r="B9" s="115" t="s">
        <v>1131</v>
      </c>
      <c r="C9" s="115" t="s">
        <v>1132</v>
      </c>
      <c r="D9" s="3"/>
    </row>
    <row r="10">
      <c r="A10" s="115" t="s">
        <v>1134</v>
      </c>
      <c r="B10" s="115" t="s">
        <v>1135</v>
      </c>
      <c r="C10" s="115" t="s">
        <v>1136</v>
      </c>
      <c r="D10" s="3"/>
    </row>
    <row r="11">
      <c r="A11" s="115" t="s">
        <v>1137</v>
      </c>
      <c r="B11" s="115" t="s">
        <v>1138</v>
      </c>
      <c r="C11" s="115" t="s">
        <v>1139</v>
      </c>
      <c r="D11" s="3"/>
    </row>
    <row r="12">
      <c r="A12" s="115" t="s">
        <v>1140</v>
      </c>
      <c r="B12" s="115" t="s">
        <v>684</v>
      </c>
      <c r="C12" s="115" t="s">
        <v>1141</v>
      </c>
      <c r="D12" s="3"/>
    </row>
    <row r="13">
      <c r="A13" s="6" t="s">
        <v>1142</v>
      </c>
      <c r="B13" s="115" t="s">
        <v>1143</v>
      </c>
      <c r="C13" s="115" t="s">
        <v>1145</v>
      </c>
      <c r="D13" s="3"/>
    </row>
    <row r="14">
      <c r="A14" s="3"/>
      <c r="B14" s="3"/>
      <c r="C14" s="3"/>
      <c r="D14" s="3"/>
    </row>
    <row r="15">
      <c r="A15" s="78" t="s">
        <v>244</v>
      </c>
      <c r="B15" s="78" t="s">
        <v>659</v>
      </c>
      <c r="C15" s="78" t="s">
        <v>854</v>
      </c>
      <c r="D15" s="78" t="s">
        <v>1152</v>
      </c>
      <c r="E15" s="156" t="s">
        <v>1153</v>
      </c>
    </row>
    <row r="16">
      <c r="A16" s="115" t="s">
        <v>1154</v>
      </c>
      <c r="B16" s="115" t="s">
        <v>1020</v>
      </c>
      <c r="C16" s="115" t="s">
        <v>1021</v>
      </c>
      <c r="D16" s="115" t="s">
        <v>1155</v>
      </c>
      <c r="E16" s="157" t="s">
        <v>1156</v>
      </c>
    </row>
    <row r="17">
      <c r="A17" s="115" t="s">
        <v>1157</v>
      </c>
      <c r="B17" s="115" t="s">
        <v>1158</v>
      </c>
      <c r="C17" s="115" t="s">
        <v>1159</v>
      </c>
      <c r="D17" s="115" t="s">
        <v>1160</v>
      </c>
      <c r="E17" s="157" t="s">
        <v>1161</v>
      </c>
    </row>
    <row r="18">
      <c r="A18" s="29" t="s">
        <v>1162</v>
      </c>
      <c r="B18" s="115" t="s">
        <v>1163</v>
      </c>
      <c r="C18" s="115" t="s">
        <v>1164</v>
      </c>
      <c r="D18" s="115" t="s">
        <v>1165</v>
      </c>
      <c r="E18" s="192" t="s">
        <v>1166</v>
      </c>
    </row>
    <row r="19">
      <c r="A19" s="3"/>
      <c r="B19" s="3"/>
      <c r="C19" s="3"/>
      <c r="D19" s="3"/>
    </row>
    <row r="20">
      <c r="A20" s="78" t="s">
        <v>1167</v>
      </c>
      <c r="B20" s="78" t="s">
        <v>836</v>
      </c>
      <c r="C20" s="3"/>
      <c r="D20" s="3"/>
    </row>
    <row r="21">
      <c r="A21" s="115" t="s">
        <v>1168</v>
      </c>
      <c r="B21" s="115" t="s">
        <v>1158</v>
      </c>
      <c r="C21" s="3"/>
      <c r="D21" s="3"/>
    </row>
    <row r="22">
      <c r="A22" s="115" t="s">
        <v>1169</v>
      </c>
      <c r="B22" s="115" t="s">
        <v>1159</v>
      </c>
      <c r="C22" s="3"/>
      <c r="D22" s="3"/>
    </row>
    <row r="23">
      <c r="A23" s="115" t="s">
        <v>1170</v>
      </c>
      <c r="B23" s="115" t="s">
        <v>1171</v>
      </c>
      <c r="C23" s="3"/>
      <c r="D23" s="3"/>
    </row>
    <row r="24">
      <c r="A24" s="3"/>
      <c r="B24" s="3"/>
      <c r="C24" s="3"/>
      <c r="D24" s="3"/>
    </row>
    <row r="25">
      <c r="A25" s="121" t="s">
        <v>1172</v>
      </c>
      <c r="B25" s="193"/>
      <c r="C25" s="3"/>
      <c r="D25" s="3"/>
    </row>
    <row r="26">
      <c r="A26" s="78" t="s">
        <v>349</v>
      </c>
      <c r="B26" s="78" t="s">
        <v>836</v>
      </c>
      <c r="C26" s="3"/>
      <c r="D26" s="3"/>
    </row>
    <row r="27">
      <c r="A27" s="115" t="s">
        <v>1173</v>
      </c>
      <c r="B27" s="115" t="s">
        <v>684</v>
      </c>
      <c r="C27" s="3"/>
      <c r="D27" s="3"/>
    </row>
    <row r="28">
      <c r="A28" s="115" t="s">
        <v>1174</v>
      </c>
      <c r="B28" s="115" t="s">
        <v>1158</v>
      </c>
      <c r="C28" s="3"/>
      <c r="D28" s="3"/>
    </row>
    <row r="29">
      <c r="A29" s="115" t="s">
        <v>1175</v>
      </c>
      <c r="B29" s="115" t="s">
        <v>853</v>
      </c>
      <c r="C29" s="3"/>
      <c r="D29" s="3"/>
    </row>
    <row r="30">
      <c r="A30" s="3"/>
      <c r="B30" s="3"/>
      <c r="C30" s="3"/>
      <c r="D30" s="3"/>
    </row>
    <row r="31">
      <c r="A31" s="194" t="s">
        <v>1176</v>
      </c>
      <c r="B31" s="3"/>
      <c r="C31" s="3"/>
      <c r="D31" s="3"/>
    </row>
    <row r="32">
      <c r="A32" s="78" t="s">
        <v>349</v>
      </c>
      <c r="B32" s="78" t="s">
        <v>836</v>
      </c>
      <c r="C32" s="3"/>
      <c r="D32" s="3"/>
    </row>
    <row r="33">
      <c r="A33" s="115" t="s">
        <v>1177</v>
      </c>
      <c r="B33" s="115" t="s">
        <v>1178</v>
      </c>
      <c r="C33" s="3"/>
      <c r="D33" s="3"/>
    </row>
    <row r="34">
      <c r="A34" s="115" t="s">
        <v>1179</v>
      </c>
      <c r="B34" s="115" t="s">
        <v>1159</v>
      </c>
      <c r="C34" s="3"/>
      <c r="D34" s="3"/>
    </row>
    <row r="35">
      <c r="A35" s="115" t="s">
        <v>1180</v>
      </c>
      <c r="B35" s="115" t="s">
        <v>1181</v>
      </c>
      <c r="C35" s="3"/>
      <c r="D35" s="3"/>
    </row>
    <row r="36">
      <c r="A36" s="115" t="s">
        <v>1182</v>
      </c>
      <c r="B36" s="115" t="s">
        <v>1183</v>
      </c>
      <c r="C36" s="3"/>
      <c r="D36" s="3"/>
    </row>
    <row r="37">
      <c r="A37" s="115" t="s">
        <v>1184</v>
      </c>
      <c r="B37" s="115" t="s">
        <v>1185</v>
      </c>
      <c r="C37" s="190" t="s">
        <v>1186</v>
      </c>
      <c r="D37" s="3"/>
    </row>
    <row r="38">
      <c r="A38" s="115" t="s">
        <v>1187</v>
      </c>
      <c r="B38" s="115" t="s">
        <v>784</v>
      </c>
      <c r="C38" s="3"/>
      <c r="D38" s="3"/>
    </row>
    <row r="39">
      <c r="A39" s="115" t="s">
        <v>1175</v>
      </c>
      <c r="B39" s="115" t="s">
        <v>855</v>
      </c>
      <c r="C39" s="190" t="s">
        <v>1188</v>
      </c>
      <c r="D39" s="3"/>
    </row>
    <row r="41">
      <c r="A41" s="121" t="s">
        <v>1189</v>
      </c>
      <c r="B41" s="193"/>
    </row>
    <row r="42">
      <c r="A42" s="78" t="s">
        <v>349</v>
      </c>
      <c r="B42" s="78" t="s">
        <v>836</v>
      </c>
    </row>
    <row r="43">
      <c r="A43" s="115" t="s">
        <v>1173</v>
      </c>
      <c r="B43" s="115" t="s">
        <v>684</v>
      </c>
    </row>
    <row r="44">
      <c r="A44" s="115" t="s">
        <v>1190</v>
      </c>
      <c r="B44" s="115" t="s">
        <v>1171</v>
      </c>
    </row>
    <row r="45">
      <c r="A45" s="115" t="s">
        <v>1175</v>
      </c>
      <c r="B45" s="115" t="s">
        <v>857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27.38"/>
  </cols>
  <sheetData>
    <row r="1">
      <c r="A1" s="155" t="s">
        <v>1101</v>
      </c>
      <c r="B1" s="3"/>
    </row>
    <row r="2">
      <c r="A2" s="119" t="s">
        <v>1103</v>
      </c>
      <c r="B2" s="3"/>
    </row>
    <row r="3">
      <c r="A3" s="119" t="s">
        <v>1104</v>
      </c>
      <c r="B3" s="3"/>
    </row>
    <row r="4">
      <c r="A4" s="119" t="s">
        <v>1105</v>
      </c>
      <c r="B4" s="3"/>
    </row>
    <row r="5">
      <c r="A5" s="119" t="s">
        <v>1107</v>
      </c>
      <c r="B5" s="3"/>
    </row>
    <row r="6">
      <c r="A6" s="119" t="s">
        <v>1109</v>
      </c>
      <c r="B6" s="3"/>
    </row>
    <row r="7">
      <c r="A7" s="158"/>
      <c r="B7" s="3"/>
    </row>
    <row r="8">
      <c r="A8" s="155" t="s">
        <v>1111</v>
      </c>
      <c r="B8" s="3"/>
    </row>
    <row r="9">
      <c r="A9" s="119" t="s">
        <v>1113</v>
      </c>
    </row>
    <row r="10">
      <c r="A10" s="119" t="s">
        <v>1115</v>
      </c>
    </row>
    <row r="11">
      <c r="A11" s="119" t="s">
        <v>1118</v>
      </c>
    </row>
    <row r="12">
      <c r="A12" s="119" t="s">
        <v>1120</v>
      </c>
    </row>
    <row r="13">
      <c r="A13" s="119" t="s">
        <v>1121</v>
      </c>
    </row>
    <row r="14">
      <c r="A14" s="3"/>
      <c r="B14" s="3"/>
    </row>
    <row r="15">
      <c r="A15" s="10" t="s">
        <v>1122</v>
      </c>
      <c r="B15" s="3"/>
    </row>
    <row r="16">
      <c r="A16" s="163" t="s">
        <v>851</v>
      </c>
      <c r="B16" s="163" t="s">
        <v>852</v>
      </c>
    </row>
    <row r="17">
      <c r="A17" s="115" t="s">
        <v>35</v>
      </c>
      <c r="B17" s="115" t="s">
        <v>860</v>
      </c>
    </row>
    <row r="18">
      <c r="A18" s="115" t="s">
        <v>659</v>
      </c>
      <c r="B18" s="115" t="s">
        <v>853</v>
      </c>
    </row>
    <row r="19">
      <c r="A19" s="115" t="s">
        <v>854</v>
      </c>
      <c r="B19" s="115" t="s">
        <v>855</v>
      </c>
    </row>
    <row r="20">
      <c r="A20" s="115" t="s">
        <v>856</v>
      </c>
      <c r="B20" s="115" t="s">
        <v>857</v>
      </c>
    </row>
    <row r="21">
      <c r="A21" s="115" t="s">
        <v>1133</v>
      </c>
      <c r="B21" s="115" t="s">
        <v>781</v>
      </c>
    </row>
    <row r="22">
      <c r="A22" s="191"/>
      <c r="B22" s="191"/>
    </row>
    <row r="23">
      <c r="A23" s="78" t="s">
        <v>1144</v>
      </c>
      <c r="B23" s="78" t="s">
        <v>1146</v>
      </c>
    </row>
    <row r="24">
      <c r="A24" s="115" t="s">
        <v>35</v>
      </c>
      <c r="B24" s="115" t="s">
        <v>1147</v>
      </c>
    </row>
    <row r="25">
      <c r="A25" s="115" t="s">
        <v>1148</v>
      </c>
      <c r="B25" s="115" t="s">
        <v>1149</v>
      </c>
    </row>
    <row r="26">
      <c r="A26" s="115" t="s">
        <v>1150</v>
      </c>
      <c r="B26" s="115" t="s">
        <v>1151</v>
      </c>
    </row>
    <row r="27">
      <c r="A27" s="115" t="s">
        <v>1133</v>
      </c>
      <c r="B27" s="115" t="s">
        <v>781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6" width="12.63"/>
  </cols>
  <sheetData>
    <row r="1" ht="225.0" customHeight="1"/>
    <row r="3" ht="22.5" customHeight="1">
      <c r="A3" s="195" t="s">
        <v>1191</v>
      </c>
      <c r="B3" s="195" t="s">
        <v>352</v>
      </c>
      <c r="C3" s="195" t="s">
        <v>358</v>
      </c>
      <c r="D3" s="195" t="s">
        <v>366</v>
      </c>
      <c r="E3" s="195" t="s">
        <v>368</v>
      </c>
      <c r="F3" s="195" t="s">
        <v>369</v>
      </c>
    </row>
    <row r="4" ht="22.5" customHeight="1">
      <c r="A4" s="196">
        <v>2022.0</v>
      </c>
      <c r="B4" s="197"/>
      <c r="C4" s="198"/>
      <c r="D4" s="198"/>
      <c r="E4" s="198"/>
      <c r="F4" s="198"/>
    </row>
    <row r="5" ht="22.5" customHeight="1">
      <c r="A5" s="196">
        <v>2023.0</v>
      </c>
      <c r="B5" s="196">
        <v>8.6</v>
      </c>
      <c r="C5" s="196">
        <v>3.71</v>
      </c>
      <c r="D5" s="196">
        <v>3.15</v>
      </c>
      <c r="E5" s="196">
        <v>11.85</v>
      </c>
      <c r="F5" s="196">
        <v>13.61</v>
      </c>
    </row>
    <row r="6" ht="22.5" customHeight="1">
      <c r="A6" s="196">
        <v>2024.0</v>
      </c>
      <c r="B6" s="196">
        <v>42.2</v>
      </c>
      <c r="C6" s="196">
        <v>37.09</v>
      </c>
      <c r="D6" s="196">
        <v>33.53</v>
      </c>
      <c r="E6" s="196">
        <v>22.2</v>
      </c>
      <c r="F6" s="196">
        <v>20.09</v>
      </c>
    </row>
    <row r="7" ht="22.5" customHeight="1">
      <c r="A7" s="196">
        <v>2025.0</v>
      </c>
      <c r="B7" s="196">
        <v>32.3</v>
      </c>
      <c r="C7" s="196">
        <v>28.36</v>
      </c>
      <c r="D7" s="196">
        <v>27.19</v>
      </c>
      <c r="E7" s="196">
        <v>22.43</v>
      </c>
      <c r="F7" s="196">
        <v>19.95</v>
      </c>
    </row>
    <row r="8" ht="22.5" customHeight="1">
      <c r="A8" s="196">
        <v>2026.0</v>
      </c>
      <c r="B8" s="196">
        <v>49.8</v>
      </c>
      <c r="C8" s="196">
        <v>3.74</v>
      </c>
      <c r="D8" s="196">
        <v>1.32</v>
      </c>
      <c r="E8" s="196">
        <v>15.01</v>
      </c>
      <c r="F8" s="196">
        <v>14.87</v>
      </c>
    </row>
  </sheetData>
  <dataValidations>
    <dataValidation type="custom" allowBlank="1" showDropDown="1" sqref="A4:F8">
      <formula1>AND(ISNUMBER(A4),(NOT(OR(NOT(ISERROR(DATEVALUE(A4))), AND(ISNUMBER(A4), LEFT(CELL("format", A4))="D")))))</formula1>
    </dataValidation>
  </dataValidations>
  <drawing r:id="rId1"/>
  <tableParts count="1">
    <tablePart r:id="rId3"/>
  </tableParts>
</worksheet>
</file>